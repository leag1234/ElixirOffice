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2025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</sheets>
  <definedNames>
    <definedName name="ProductList">Products!$B$4:$B$11</definedName>
    <definedName name="PriceTable">Products!$B$4:$D$11</definedName>
    <definedName name="RegionTargets">Regions!$A$4:$C$7</definedName>
    <definedName name="SalesData">'Sales 2025'!$A$2:$H$121</definedName>
    <definedName name="VatRate">0.2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"/>
    <numFmt numFmtId="166" formatCode="0.0%"/>
    <numFmt numFmtId="167" formatCode="yyyy-mm-dd"/>
    <numFmt numFmtId="168" formatCode="mmm yyyy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thin"/>
      <bottom style="double"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167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166" fontId="4" fillId="0" borderId="2" pivotButton="0" quotePrefix="0" xfId="0"/>
    <xf numFmtId="0" fontId="4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3" fillId="0" borderId="0" pivotButton="0" quotePrefix="0" xfId="1"/>
    <xf numFmtId="9" fontId="0" fillId="0" borderId="0" pivotButton="0" quotePrefix="0" xfId="0"/>
    <xf numFmtId="0" fontId="1" fillId="0" borderId="0" pivotButton="0" quotePrefix="0" xfId="0"/>
    <xf numFmtId="165" fontId="4" fillId="0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'Summary'!$B$5:$B$8</f>
            </numRef>
          </val>
        </ser>
        <ser>
          <idx val="1"/>
          <order val="1"/>
          <tx>
            <strRef>
              <f>'Summary'!C4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2025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'Summary'!$A$16:$A$27</f>
            </numRef>
          </cat>
          <val>
            <numRef>
              <f>'Summary'!$B$16:$B$27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'Summary'!$A$5:$A$8</f>
            </numRef>
          </cat>
          <val>
            <numRef>
              <f>'Summary'!$B$5:$B$8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Finance</author>
  </authors>
  <commentList>
    <comment ref="A2" authorId="0" shapeId="0">
      <text>
        <t>TODAY() recalculates whenever the workbook is opened.</t>
      </text>
    </comment>
  </commentList>
</comments>
</file>

<file path=xl/comments/comment2.xml><?xml version="1.0" encoding="utf-8"?>
<comments xmlns="http://schemas.openxmlformats.org/spreadsheetml/2006/main">
  <authors>
    <author>Sales Ops</author>
  </authors>
  <commentList>
    <comment ref="B4" authorId="0" shapeId="0">
      <text>
        <t>Emily joined as regional manager in March 2025.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2</row>
      <rowOff>0</rowOff>
    </from>
    <ext cx="36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ales" displayName="tblSales" ref="A1:H121" headerRowCount="1">
  <autoFilter ref="A1:H121"/>
  <tableColumns count="8">
    <tableColumn id="1" name="Date"/>
    <tableColumn id="2" name="Region"/>
    <tableColumn id="3" name="Product"/>
    <tableColumn id="4" name="Units"/>
    <tableColumn id="5" name="Unit price"/>
    <tableColumn id="6" name="Total"/>
    <tableColumn id="7" name="Discount"/>
    <tableColumn id="8" name="Rating"/>
  </tableColumns>
  <tableStyleInfo name="TableStyleMedium2" showRowStripes="1"/>
</table>
</file>

<file path=xl/tables/table2.xml><?xml version="1.0" encoding="utf-8"?>
<table xmlns="http://schemas.openxmlformats.org/spreadsheetml/2006/main" id="2" name="tblProducts" displayName="tblProducts" ref="A3:E11" headerRowCount="1">
  <autoFilter ref="A3:E11"/>
  <tableColumns count="5">
    <tableColumn id="1" name="Code"/>
    <tableColumn id="2" name="Product"/>
    <tableColumn id="3" name="Category"/>
    <tableColumn id="4" name="Unit price"/>
    <tableColumn id="5" name="In sto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xample.com/dashboards/sales-2025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xample.com/suppliers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Sales Report 2025</t>
        </is>
      </c>
    </row>
    <row r="2">
      <c r="A2" s="2" t="inlineStr">
        <is>
          <t>Report date:</t>
        </is>
      </c>
      <c r="B2" s="3">
        <f>TODAY()</f>
        <v/>
      </c>
    </row>
    <row r="4">
      <c r="A4" s="4" t="inlineStr">
        <is>
          <t>Region</t>
        </is>
      </c>
      <c r="B4" s="4" t="inlineStr">
        <is>
          <t>Revenue</t>
        </is>
      </c>
      <c r="C4" s="4" t="inlineStr">
        <is>
          <t>Target</t>
        </is>
      </c>
      <c r="D4" s="4" t="inlineStr">
        <is>
          <t>Achieved</t>
        </is>
      </c>
      <c r="E4" s="4" t="inlineStr">
        <is>
          <t>Status</t>
        </is>
      </c>
      <c r="F4" s="4" t="inlineStr">
        <is>
          <t>Manager</t>
        </is>
      </c>
    </row>
    <row r="5">
      <c r="A5" s="5" t="inlineStr">
        <is>
          <t>North</t>
        </is>
      </c>
      <c r="B5" s="6">
        <f>ROUND(SUMIF('Sales 2025'!$B$2:$B$121,A5,'Sales 2025'!$F$2:$F$121),2)</f>
        <v/>
      </c>
      <c r="C5" s="7">
        <f>VLOOKUP(A5,Regions!$A$4:$C$7,3,FALSE)</f>
        <v/>
      </c>
      <c r="D5" s="8">
        <f>IF(C5=0,0,B5/C5)</f>
        <v/>
      </c>
      <c r="E5" s="5">
        <f>IF(D5&gt;=1,"On target",IF(D5&gt;=0.8,"Close","Behind"))</f>
        <v/>
      </c>
      <c r="F5" s="5">
        <f>VLOOKUP(A5,Regions!$A$4:$B$7,2,FALSE)</f>
        <v/>
      </c>
    </row>
    <row r="6">
      <c r="A6" s="5" t="inlineStr">
        <is>
          <t>South</t>
        </is>
      </c>
      <c r="B6" s="6">
        <f>ROUND(SUMIF('Sales 2025'!$B$2:$B$121,A6,'Sales 2025'!$F$2:$F$121),2)</f>
        <v/>
      </c>
      <c r="C6" s="7">
        <f>VLOOKUP(A6,Regions!$A$4:$C$7,3,FALSE)</f>
        <v/>
      </c>
      <c r="D6" s="8">
        <f>IF(C6=0,0,B6/C6)</f>
        <v/>
      </c>
      <c r="E6" s="5">
        <f>IF(D6&gt;=1,"On target",IF(D6&gt;=0.8,"Close","Behind"))</f>
        <v/>
      </c>
      <c r="F6" s="5">
        <f>VLOOKUP(A6,Regions!$A$4:$B$7,2,FALSE)</f>
        <v/>
      </c>
    </row>
    <row r="7">
      <c r="A7" s="5" t="inlineStr">
        <is>
          <t>East</t>
        </is>
      </c>
      <c r="B7" s="6">
        <f>ROUND(SUMIF('Sales 2025'!$B$2:$B$121,A7,'Sales 2025'!$F$2:$F$121),2)</f>
        <v/>
      </c>
      <c r="C7" s="7">
        <f>VLOOKUP(A7,Regions!$A$4:$C$7,3,FALSE)</f>
        <v/>
      </c>
      <c r="D7" s="8">
        <f>IF(C7=0,0,B7/C7)</f>
        <v/>
      </c>
      <c r="E7" s="5">
        <f>IF(D7&gt;=1,"On target",IF(D7&gt;=0.8,"Close","Behind"))</f>
        <v/>
      </c>
      <c r="F7" s="5">
        <f>VLOOKUP(A7,Regions!$A$4:$B$7,2,FALSE)</f>
        <v/>
      </c>
    </row>
    <row r="8">
      <c r="A8" s="5" t="inlineStr">
        <is>
          <t>West</t>
        </is>
      </c>
      <c r="B8" s="6">
        <f>ROUND(SUMIF('Sales 2025'!$B$2:$B$121,A8,'Sales 2025'!$F$2:$F$121),2)</f>
        <v/>
      </c>
      <c r="C8" s="7">
        <f>VLOOKUP(A8,Regions!$A$4:$C$7,3,FALSE)</f>
        <v/>
      </c>
      <c r="D8" s="8">
        <f>IF(C8=0,0,B8/C8)</f>
        <v/>
      </c>
      <c r="E8" s="5">
        <f>IF(D8&gt;=1,"On target",IF(D8&gt;=0.8,"Close","Behind"))</f>
        <v/>
      </c>
      <c r="F8" s="5">
        <f>VLOOKUP(A8,Regions!$A$4:$B$7,2,FALSE)</f>
        <v/>
      </c>
    </row>
    <row r="9">
      <c r="A9" s="9" t="inlineStr">
        <is>
          <t>Total</t>
        </is>
      </c>
      <c r="B9" s="10">
        <f>SUM(B5:B8)</f>
        <v/>
      </c>
      <c r="C9" s="11">
        <f>SUM(C5:C8)</f>
        <v/>
      </c>
      <c r="D9" s="12">
        <f>IF(C9=0,0,B9/C9)</f>
        <v/>
      </c>
      <c r="E9" s="9" t="n"/>
      <c r="F9" s="9" t="n"/>
    </row>
    <row r="11">
      <c r="A11" s="13" t="inlineStr">
        <is>
          <t>Average order value</t>
        </is>
      </c>
      <c r="B11" s="14">
        <f>ROUND(AVERAGE('Sales 2025'!$F$2:$F$121),2)</f>
        <v/>
      </c>
    </row>
    <row r="12">
      <c r="A12" s="13" t="inlineStr">
        <is>
          <t>Orders with discount &gt; 10%</t>
        </is>
      </c>
      <c r="B12">
        <f>COUNTIF('Sales 2025'!$G$2:$G$121,"&gt;0.1")</f>
        <v/>
      </c>
    </row>
    <row r="13">
      <c r="A13" s="13" t="inlineStr">
        <is>
          <t>Revenue incl. VAT</t>
        </is>
      </c>
      <c r="B13" s="14">
        <f>ROUND(B9*(1+VatRate),2)</f>
        <v/>
      </c>
    </row>
    <row r="15">
      <c r="A15" s="4" t="inlineStr">
        <is>
          <t>Month</t>
        </is>
      </c>
      <c r="B15" s="4" t="inlineStr">
        <is>
          <t>Revenue</t>
        </is>
      </c>
    </row>
    <row r="16">
      <c r="A16" s="15" t="n">
        <v>45658</v>
      </c>
      <c r="B16" s="16">
        <f>SUMIF('Sales 2025'!$A$2:$A$121,"&gt;="&amp;A16,'Sales 2025'!$F$2:$F$121)-SUMIF('Sales 2025'!$A$2:$A$121,"&gt;"&amp;EOMONTH(A16,0),'Sales 2025'!$F$2:$F$121)</f>
        <v/>
      </c>
    </row>
    <row r="17">
      <c r="A17" s="15" t="n">
        <v>45689</v>
      </c>
      <c r="B17" s="16">
        <f>SUMIF('Sales 2025'!$A$2:$A$121,"&gt;="&amp;A17,'Sales 2025'!$F$2:$F$121)-SUMIF('Sales 2025'!$A$2:$A$121,"&gt;"&amp;EOMONTH(A17,0),'Sales 2025'!$F$2:$F$121)</f>
        <v/>
      </c>
    </row>
    <row r="18">
      <c r="A18" s="15" t="n">
        <v>45717</v>
      </c>
      <c r="B18" s="16">
        <f>SUMIF('Sales 2025'!$A$2:$A$121,"&gt;="&amp;A18,'Sales 2025'!$F$2:$F$121)-SUMIF('Sales 2025'!$A$2:$A$121,"&gt;"&amp;EOMONTH(A18,0),'Sales 2025'!$F$2:$F$121)</f>
        <v/>
      </c>
    </row>
    <row r="19">
      <c r="A19" s="15" t="n">
        <v>45748</v>
      </c>
      <c r="B19" s="16">
        <f>SUMIF('Sales 2025'!$A$2:$A$121,"&gt;="&amp;A19,'Sales 2025'!$F$2:$F$121)-SUMIF('Sales 2025'!$A$2:$A$121,"&gt;"&amp;EOMONTH(A19,0),'Sales 2025'!$F$2:$F$121)</f>
        <v/>
      </c>
    </row>
    <row r="20">
      <c r="A20" s="15" t="n">
        <v>45778</v>
      </c>
      <c r="B20" s="16">
        <f>SUMIF('Sales 2025'!$A$2:$A$121,"&gt;="&amp;A20,'Sales 2025'!$F$2:$F$121)-SUMIF('Sales 2025'!$A$2:$A$121,"&gt;"&amp;EOMONTH(A20,0),'Sales 2025'!$F$2:$F$121)</f>
        <v/>
      </c>
    </row>
    <row r="21">
      <c r="A21" s="15" t="n">
        <v>45809</v>
      </c>
      <c r="B21" s="16">
        <f>SUMIF('Sales 2025'!$A$2:$A$121,"&gt;="&amp;A21,'Sales 2025'!$F$2:$F$121)-SUMIF('Sales 2025'!$A$2:$A$121,"&gt;"&amp;EOMONTH(A21,0),'Sales 2025'!$F$2:$F$121)</f>
        <v/>
      </c>
    </row>
    <row r="22">
      <c r="A22" s="15" t="n">
        <v>45839</v>
      </c>
      <c r="B22" s="16">
        <f>SUMIF('Sales 2025'!$A$2:$A$121,"&gt;="&amp;A22,'Sales 2025'!$F$2:$F$121)-SUMIF('Sales 2025'!$A$2:$A$121,"&gt;"&amp;EOMONTH(A22,0),'Sales 2025'!$F$2:$F$121)</f>
        <v/>
      </c>
    </row>
    <row r="23">
      <c r="A23" s="15" t="n">
        <v>45870</v>
      </c>
      <c r="B23" s="16">
        <f>SUMIF('Sales 2025'!$A$2:$A$121,"&gt;="&amp;A23,'Sales 2025'!$F$2:$F$121)-SUMIF('Sales 2025'!$A$2:$A$121,"&gt;"&amp;EOMONTH(A23,0),'Sales 2025'!$F$2:$F$121)</f>
        <v/>
      </c>
    </row>
    <row r="24">
      <c r="A24" s="15" t="n">
        <v>45901</v>
      </c>
      <c r="B24" s="16">
        <f>SUMIF('Sales 2025'!$A$2:$A$121,"&gt;="&amp;A24,'Sales 2025'!$F$2:$F$121)-SUMIF('Sales 2025'!$A$2:$A$121,"&gt;"&amp;EOMONTH(A24,0),'Sales 2025'!$F$2:$F$121)</f>
        <v/>
      </c>
    </row>
    <row r="25">
      <c r="A25" s="15" t="n">
        <v>45931</v>
      </c>
      <c r="B25" s="16">
        <f>SUMIF('Sales 2025'!$A$2:$A$121,"&gt;="&amp;A25,'Sales 2025'!$F$2:$F$121)-SUMIF('Sales 2025'!$A$2:$A$121,"&gt;"&amp;EOMONTH(A25,0),'Sales 2025'!$F$2:$F$121)</f>
        <v/>
      </c>
    </row>
    <row r="26">
      <c r="A26" s="15" t="n">
        <v>45962</v>
      </c>
      <c r="B26" s="16">
        <f>SUMIF('Sales 2025'!$A$2:$A$121,"&gt;="&amp;A26,'Sales 2025'!$F$2:$F$121)-SUMIF('Sales 2025'!$A$2:$A$121,"&gt;"&amp;EOMONTH(A26,0),'Sales 2025'!$F$2:$F$121)</f>
        <v/>
      </c>
    </row>
    <row r="27">
      <c r="A27" s="15" t="n">
        <v>45992</v>
      </c>
      <c r="B27" s="16">
        <f>SUMIF('Sales 2025'!$A$2:$A$121,"&gt;="&amp;A27,'Sales 2025'!$F$2:$F$121)-SUMIF('Sales 2025'!$A$2:$A$121,"&gt;"&amp;EOMONTH(A27,0),'Sales 2025'!$F$2:$F$121)</f>
        <v/>
      </c>
    </row>
    <row r="29">
      <c r="A29" s="17" t="inlineStr">
        <is>
          <t>Sales dashboard (intranet)</t>
        </is>
      </c>
    </row>
    <row r="30">
      <c r="A30" s="17" t="inlineStr">
        <is>
          <t>Go to the order list</t>
        </is>
      </c>
    </row>
  </sheetData>
  <mergeCells count="1">
    <mergeCell ref="A1:F1"/>
  </mergeCells>
  <hyperlinks>
    <hyperlink xmlns:r="http://schemas.openxmlformats.org/officeDocument/2006/relationships" ref="A29" r:id="rId1"/>
    <hyperlink ref="A30" location="'Sales 2025'!A1" display="Go to the order list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8" customWidth="1" min="4" max="4"/>
    <col width="12" customWidth="1" min="5" max="5"/>
    <col width="13" customWidth="1" min="6" max="6"/>
    <col width="10" customWidth="1" min="7" max="7"/>
    <col width="8" customWidth="1" min="8" max="8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Units</t>
        </is>
      </c>
      <c r="E1" t="inlineStr">
        <is>
          <t>Unit price</t>
        </is>
      </c>
      <c r="F1" t="inlineStr">
        <is>
          <t>Total</t>
        </is>
      </c>
      <c r="G1" t="inlineStr">
        <is>
          <t>Discount</t>
        </is>
      </c>
      <c r="H1" t="inlineStr">
        <is>
          <t>Rating</t>
        </is>
      </c>
    </row>
    <row r="2">
      <c r="A2" s="3" t="n">
        <v>45660</v>
      </c>
      <c r="B2" t="inlineStr">
        <is>
          <t>West</t>
        </is>
      </c>
      <c r="C2" t="inlineStr">
        <is>
          <t>Standing Desk</t>
        </is>
      </c>
      <c r="D2" t="n">
        <v>1</v>
      </c>
      <c r="E2" s="14" t="n">
        <v>539</v>
      </c>
      <c r="F2" s="14">
        <f>D2*E2</f>
        <v/>
      </c>
      <c r="G2" s="18" t="n">
        <v>0</v>
      </c>
      <c r="H2" t="n">
        <v>2</v>
      </c>
    </row>
    <row r="3">
      <c r="A3" s="3" t="n">
        <v>45663</v>
      </c>
      <c r="B3" t="inlineStr">
        <is>
          <t>North</t>
        </is>
      </c>
      <c r="C3" t="inlineStr">
        <is>
          <t>Desk Organizer</t>
        </is>
      </c>
      <c r="D3" t="n">
        <v>4</v>
      </c>
      <c r="E3" s="14" t="n">
        <v>18.75</v>
      </c>
      <c r="F3" s="14">
        <f>D3*E3</f>
        <v/>
      </c>
      <c r="G3" s="18" t="n">
        <v>0</v>
      </c>
      <c r="H3" t="n">
        <v>5</v>
      </c>
    </row>
    <row r="4">
      <c r="A4" s="3" t="n">
        <v>45667</v>
      </c>
      <c r="B4" t="inlineStr">
        <is>
          <t>North</t>
        </is>
      </c>
      <c r="C4" t="inlineStr">
        <is>
          <t>Wireless Keyboard</t>
        </is>
      </c>
      <c r="D4" t="n">
        <v>13</v>
      </c>
      <c r="E4" s="14" t="n">
        <v>59.9</v>
      </c>
      <c r="F4" s="14">
        <f>D4*E4</f>
        <v/>
      </c>
      <c r="G4" s="18" t="n">
        <v>0</v>
      </c>
      <c r="H4" t="n">
        <v>2</v>
      </c>
    </row>
    <row r="5">
      <c r="A5" s="3" t="n">
        <v>45670</v>
      </c>
      <c r="B5" t="inlineStr">
        <is>
          <t>West</t>
        </is>
      </c>
      <c r="C5" t="inlineStr">
        <is>
          <t>Coffee Machine</t>
        </is>
      </c>
      <c r="D5" t="n">
        <v>6</v>
      </c>
      <c r="E5" s="14" t="n">
        <v>429</v>
      </c>
      <c r="F5" s="14">
        <f>D5*E5</f>
        <v/>
      </c>
      <c r="G5" s="18" t="n">
        <v>0</v>
      </c>
      <c r="H5" t="n">
        <v>5</v>
      </c>
    </row>
    <row r="6">
      <c r="A6" s="3" t="n">
        <v>45671</v>
      </c>
      <c r="B6" t="inlineStr">
        <is>
          <t>South</t>
        </is>
      </c>
      <c r="C6" t="inlineStr">
        <is>
          <t>Wireless Keyboard</t>
        </is>
      </c>
      <c r="D6" t="n">
        <v>8</v>
      </c>
      <c r="E6" s="14" t="n">
        <v>59.9</v>
      </c>
      <c r="F6" s="14">
        <f>D6*E6</f>
        <v/>
      </c>
      <c r="G6" s="18" t="n">
        <v>0.05</v>
      </c>
      <c r="H6" t="n">
        <v>5</v>
      </c>
    </row>
    <row r="7">
      <c r="A7" s="3" t="n">
        <v>45674</v>
      </c>
      <c r="B7" t="inlineStr">
        <is>
          <t>North</t>
        </is>
      </c>
      <c r="C7" t="inlineStr">
        <is>
          <t>27-inch Monitor</t>
        </is>
      </c>
      <c r="D7" t="n">
        <v>9</v>
      </c>
      <c r="E7" s="14" t="n">
        <v>319</v>
      </c>
      <c r="F7" s="14">
        <f>D7*E7</f>
        <v/>
      </c>
      <c r="G7" s="18" t="n">
        <v>0.1</v>
      </c>
      <c r="H7" t="n">
        <v>1</v>
      </c>
    </row>
    <row r="8">
      <c r="A8" s="3" t="n">
        <v>45679</v>
      </c>
      <c r="B8" t="inlineStr">
        <is>
          <t>West</t>
        </is>
      </c>
      <c r="C8" t="inlineStr">
        <is>
          <t>Noise-cancelling Headset</t>
        </is>
      </c>
      <c r="D8" t="n">
        <v>8</v>
      </c>
      <c r="E8" s="14" t="n">
        <v>149</v>
      </c>
      <c r="F8" s="14">
        <f>D8*E8</f>
        <v/>
      </c>
      <c r="G8" s="18" t="n">
        <v>0.05</v>
      </c>
      <c r="H8" t="n">
        <v>3</v>
      </c>
    </row>
    <row r="9">
      <c r="A9" s="3" t="n">
        <v>45682</v>
      </c>
      <c r="B9" t="inlineStr">
        <is>
          <t>West</t>
        </is>
      </c>
      <c r="C9" t="inlineStr">
        <is>
          <t>Coffee Machine</t>
        </is>
      </c>
      <c r="D9" t="n">
        <v>7</v>
      </c>
      <c r="E9" s="14" t="n">
        <v>429</v>
      </c>
      <c r="F9" s="14">
        <f>D9*E9</f>
        <v/>
      </c>
      <c r="G9" s="18" t="n">
        <v>0</v>
      </c>
      <c r="H9" t="n">
        <v>5</v>
      </c>
    </row>
    <row r="10">
      <c r="A10" s="3" t="n">
        <v>45684</v>
      </c>
      <c r="B10" t="inlineStr">
        <is>
          <t>North</t>
        </is>
      </c>
      <c r="C10" t="inlineStr">
        <is>
          <t>A4 Paper (box of 5 reams)</t>
        </is>
      </c>
      <c r="D10" t="n">
        <v>40</v>
      </c>
      <c r="E10" s="14" t="n">
        <v>27.5</v>
      </c>
      <c r="F10" s="14">
        <f>D10*E10</f>
        <v/>
      </c>
      <c r="G10" s="18" t="n">
        <v>0.05</v>
      </c>
      <c r="H10" t="n">
        <v>3</v>
      </c>
    </row>
    <row r="11">
      <c r="A11" s="3" t="n">
        <v>45686</v>
      </c>
      <c r="B11" t="inlineStr">
        <is>
          <t>East</t>
        </is>
      </c>
      <c r="C11" t="inlineStr">
        <is>
          <t>27-inch Monitor</t>
        </is>
      </c>
      <c r="D11" t="n">
        <v>14</v>
      </c>
      <c r="E11" s="14" t="n">
        <v>319</v>
      </c>
      <c r="F11" s="14">
        <f>D11*E11</f>
        <v/>
      </c>
      <c r="G11" s="18" t="n">
        <v>0.08</v>
      </c>
      <c r="H11" t="n">
        <v>3</v>
      </c>
    </row>
    <row r="12">
      <c r="A12" s="3" t="n">
        <v>45690</v>
      </c>
      <c r="B12" t="inlineStr">
        <is>
          <t>East</t>
        </is>
      </c>
      <c r="C12" t="inlineStr">
        <is>
          <t>Standing Desk</t>
        </is>
      </c>
      <c r="D12" t="n">
        <v>9</v>
      </c>
      <c r="E12" s="14" t="n">
        <v>539</v>
      </c>
      <c r="F12" s="14">
        <f>D12*E12</f>
        <v/>
      </c>
      <c r="G12" s="18" t="n">
        <v>0.05</v>
      </c>
      <c r="H12" t="n">
        <v>3</v>
      </c>
    </row>
    <row r="13">
      <c r="A13" s="3" t="n">
        <v>45694</v>
      </c>
      <c r="B13" t="inlineStr">
        <is>
          <t>East</t>
        </is>
      </c>
      <c r="C13" t="inlineStr">
        <is>
          <t>27-inch Monitor</t>
        </is>
      </c>
      <c r="D13" t="n">
        <v>1</v>
      </c>
      <c r="E13" s="14" t="n">
        <v>319</v>
      </c>
      <c r="F13" s="14">
        <f>D13*E13</f>
        <v/>
      </c>
      <c r="G13" s="18" t="n">
        <v>0.1</v>
      </c>
      <c r="H13" t="n">
        <v>5</v>
      </c>
    </row>
    <row r="14">
      <c r="A14" s="3" t="n">
        <v>45697</v>
      </c>
      <c r="B14" t="inlineStr">
        <is>
          <t>South</t>
        </is>
      </c>
      <c r="C14" t="inlineStr">
        <is>
          <t>Desk Organizer</t>
        </is>
      </c>
      <c r="D14" t="n">
        <v>22</v>
      </c>
      <c r="E14" s="14" t="n">
        <v>18.75</v>
      </c>
      <c r="F14" s="14">
        <f>D14*E14</f>
        <v/>
      </c>
      <c r="G14" s="18" t="n">
        <v>0.05</v>
      </c>
      <c r="H14" t="n">
        <v>3</v>
      </c>
    </row>
    <row r="15">
      <c r="A15" s="3" t="n">
        <v>45700</v>
      </c>
      <c r="B15" t="inlineStr">
        <is>
          <t>North</t>
        </is>
      </c>
      <c r="C15" t="inlineStr">
        <is>
          <t>Desk Organizer</t>
        </is>
      </c>
      <c r="D15" t="n">
        <v>3</v>
      </c>
      <c r="E15" s="14" t="n">
        <v>18.75</v>
      </c>
      <c r="F15" s="14">
        <f>D15*E15</f>
        <v/>
      </c>
      <c r="G15" s="18" t="n">
        <v>0.05</v>
      </c>
      <c r="H15" t="n">
        <v>2</v>
      </c>
    </row>
    <row r="16">
      <c r="A16" s="3" t="n">
        <v>45701</v>
      </c>
      <c r="B16" t="inlineStr">
        <is>
          <t>South</t>
        </is>
      </c>
      <c r="C16" t="inlineStr">
        <is>
          <t>27-inch Monitor</t>
        </is>
      </c>
      <c r="D16" t="n">
        <v>11</v>
      </c>
      <c r="E16" s="14" t="n">
        <v>319</v>
      </c>
      <c r="F16" s="14">
        <f>D16*E16</f>
        <v/>
      </c>
      <c r="G16" s="18" t="n">
        <v>0.15</v>
      </c>
      <c r="H16" t="n">
        <v>5</v>
      </c>
    </row>
    <row r="17">
      <c r="A17" s="3" t="n">
        <v>45704</v>
      </c>
      <c r="B17" t="inlineStr">
        <is>
          <t>East</t>
        </is>
      </c>
      <c r="C17" t="inlineStr">
        <is>
          <t>Ergonomic Office Chair</t>
        </is>
      </c>
      <c r="D17" t="n">
        <v>2</v>
      </c>
      <c r="E17" s="14" t="n">
        <v>249</v>
      </c>
      <c r="F17" s="14">
        <f>D17*E17</f>
        <v/>
      </c>
      <c r="G17" s="18" t="n">
        <v>0.12</v>
      </c>
      <c r="H17" t="n">
        <v>2</v>
      </c>
    </row>
    <row r="18">
      <c r="A18" s="3" t="n">
        <v>45707</v>
      </c>
      <c r="B18" t="inlineStr">
        <is>
          <t>South</t>
        </is>
      </c>
      <c r="C18" t="inlineStr">
        <is>
          <t>Wireless Keyboard</t>
        </is>
      </c>
      <c r="D18" t="n">
        <v>21</v>
      </c>
      <c r="E18" s="14" t="n">
        <v>59.9</v>
      </c>
      <c r="F18" s="14">
        <f>D18*E18</f>
        <v/>
      </c>
      <c r="G18" s="18" t="n">
        <v>0.08</v>
      </c>
      <c r="H18" t="n">
        <v>2</v>
      </c>
    </row>
    <row r="19">
      <c r="A19" s="3" t="n">
        <v>45712</v>
      </c>
      <c r="B19" t="inlineStr">
        <is>
          <t>East</t>
        </is>
      </c>
      <c r="C19" t="inlineStr">
        <is>
          <t>A4 Paper (box of 5 reams)</t>
        </is>
      </c>
      <c r="D19" t="n">
        <v>10</v>
      </c>
      <c r="E19" s="14" t="n">
        <v>27.5</v>
      </c>
      <c r="F19" s="14">
        <f>D19*E19</f>
        <v/>
      </c>
      <c r="G19" s="18" t="n">
        <v>0.12</v>
      </c>
      <c r="H19" t="n">
        <v>2</v>
      </c>
    </row>
    <row r="20">
      <c r="A20" s="3" t="n">
        <v>45715</v>
      </c>
      <c r="B20" t="inlineStr">
        <is>
          <t>West</t>
        </is>
      </c>
      <c r="C20" t="inlineStr">
        <is>
          <t>27-inch Monitor</t>
        </is>
      </c>
      <c r="D20" t="n">
        <v>2</v>
      </c>
      <c r="E20" s="14" t="n">
        <v>319</v>
      </c>
      <c r="F20" s="14">
        <f>D20*E20</f>
        <v/>
      </c>
      <c r="G20" s="18" t="n">
        <v>0.05</v>
      </c>
      <c r="H20" t="n">
        <v>2</v>
      </c>
    </row>
    <row r="21">
      <c r="A21" s="3" t="n">
        <v>45718</v>
      </c>
      <c r="B21" t="inlineStr">
        <is>
          <t>West</t>
        </is>
      </c>
      <c r="C21" t="inlineStr">
        <is>
          <t>A4 Paper (box of 5 reams)</t>
        </is>
      </c>
      <c r="D21" t="n">
        <v>38</v>
      </c>
      <c r="E21" s="14" t="n">
        <v>27.5</v>
      </c>
      <c r="F21" s="14">
        <f>D21*E21</f>
        <v/>
      </c>
      <c r="G21" s="18" t="n">
        <v>0.05</v>
      </c>
      <c r="H21" t="n">
        <v>1</v>
      </c>
    </row>
    <row r="22">
      <c r="A22" s="3" t="n">
        <v>45720</v>
      </c>
      <c r="B22" t="inlineStr">
        <is>
          <t>East</t>
        </is>
      </c>
      <c r="C22" t="inlineStr">
        <is>
          <t>A4 Paper (box of 5 reams)</t>
        </is>
      </c>
      <c r="D22" t="n">
        <v>34</v>
      </c>
      <c r="E22" s="14" t="n">
        <v>27.5</v>
      </c>
      <c r="F22" s="14">
        <f>D22*E22</f>
        <v/>
      </c>
      <c r="G22" s="18" t="n">
        <v>0.15</v>
      </c>
      <c r="H22" t="n">
        <v>3</v>
      </c>
    </row>
    <row r="23">
      <c r="A23" s="3" t="n">
        <v>45723</v>
      </c>
      <c r="B23" t="inlineStr">
        <is>
          <t>North</t>
        </is>
      </c>
      <c r="C23" t="inlineStr">
        <is>
          <t>27-inch Monitor</t>
        </is>
      </c>
      <c r="D23" t="n">
        <v>5</v>
      </c>
      <c r="E23" s="14" t="n">
        <v>319</v>
      </c>
      <c r="F23" s="14">
        <f>D23*E23</f>
        <v/>
      </c>
      <c r="G23" s="18" t="n">
        <v>0.15</v>
      </c>
      <c r="H23" t="n">
        <v>5</v>
      </c>
    </row>
    <row r="24">
      <c r="A24" s="3" t="n">
        <v>45726</v>
      </c>
      <c r="B24" t="inlineStr">
        <is>
          <t>West</t>
        </is>
      </c>
      <c r="C24" t="inlineStr">
        <is>
          <t>A4 Paper (box of 5 reams)</t>
        </is>
      </c>
      <c r="D24" t="n">
        <v>22</v>
      </c>
      <c r="E24" s="14" t="n">
        <v>27.5</v>
      </c>
      <c r="F24" s="14">
        <f>D24*E24</f>
        <v/>
      </c>
      <c r="G24" s="18" t="n">
        <v>0</v>
      </c>
      <c r="H24" t="n">
        <v>2</v>
      </c>
    </row>
    <row r="25">
      <c r="A25" s="3" t="n">
        <v>45730</v>
      </c>
      <c r="B25" t="inlineStr">
        <is>
          <t>South</t>
        </is>
      </c>
      <c r="C25" t="inlineStr">
        <is>
          <t>Noise-cancelling Headset</t>
        </is>
      </c>
      <c r="D25" t="n">
        <v>14</v>
      </c>
      <c r="E25" s="14" t="n">
        <v>149</v>
      </c>
      <c r="F25" s="14">
        <f>D25*E25</f>
        <v/>
      </c>
      <c r="G25" s="18" t="n">
        <v>0</v>
      </c>
      <c r="H25" t="n">
        <v>3</v>
      </c>
    </row>
    <row r="26">
      <c r="A26" s="3" t="n">
        <v>45731</v>
      </c>
      <c r="B26" t="inlineStr">
        <is>
          <t>South</t>
        </is>
      </c>
      <c r="C26" t="inlineStr">
        <is>
          <t>Coffee Machine</t>
        </is>
      </c>
      <c r="D26" t="n">
        <v>11</v>
      </c>
      <c r="E26" s="14" t="n">
        <v>429</v>
      </c>
      <c r="F26" s="14">
        <f>D26*E26</f>
        <v/>
      </c>
      <c r="G26" s="18" t="n">
        <v>0.05</v>
      </c>
      <c r="H26" t="n">
        <v>5</v>
      </c>
    </row>
    <row r="27">
      <c r="A27" s="3" t="n">
        <v>45736</v>
      </c>
      <c r="B27" t="inlineStr">
        <is>
          <t>North</t>
        </is>
      </c>
      <c r="C27" t="inlineStr">
        <is>
          <t>Standing Desk</t>
        </is>
      </c>
      <c r="D27" t="n">
        <v>3</v>
      </c>
      <c r="E27" s="14" t="n">
        <v>539</v>
      </c>
      <c r="F27" s="14">
        <f>D27*E27</f>
        <v/>
      </c>
      <c r="G27" s="18" t="n">
        <v>0.08</v>
      </c>
      <c r="H27" t="n">
        <v>3</v>
      </c>
    </row>
    <row r="28">
      <c r="A28" s="3" t="n">
        <v>45739</v>
      </c>
      <c r="B28" t="inlineStr">
        <is>
          <t>North</t>
        </is>
      </c>
      <c r="C28" t="inlineStr">
        <is>
          <t>Ergonomic Office Chair</t>
        </is>
      </c>
      <c r="D28" t="n">
        <v>15</v>
      </c>
      <c r="E28" s="14" t="n">
        <v>249</v>
      </c>
      <c r="F28" s="14">
        <f>D28*E28</f>
        <v/>
      </c>
      <c r="G28" s="18" t="n">
        <v>0</v>
      </c>
      <c r="H28" t="n">
        <v>5</v>
      </c>
    </row>
    <row r="29">
      <c r="A29" s="3" t="n">
        <v>45742</v>
      </c>
      <c r="B29" t="inlineStr">
        <is>
          <t>East</t>
        </is>
      </c>
      <c r="C29" t="inlineStr">
        <is>
          <t>Noise-cancelling Headset</t>
        </is>
      </c>
      <c r="D29" t="n">
        <v>4</v>
      </c>
      <c r="E29" s="14" t="n">
        <v>149</v>
      </c>
      <c r="F29" s="14">
        <f>D29*E29</f>
        <v/>
      </c>
      <c r="G29" s="18" t="n">
        <v>0.08</v>
      </c>
      <c r="H29" t="n">
        <v>5</v>
      </c>
    </row>
    <row r="30">
      <c r="A30" s="3" t="n">
        <v>45744</v>
      </c>
      <c r="B30" t="inlineStr">
        <is>
          <t>South</t>
        </is>
      </c>
      <c r="C30" t="inlineStr">
        <is>
          <t>Ergonomic Office Chair</t>
        </is>
      </c>
      <c r="D30" t="n">
        <v>11</v>
      </c>
      <c r="E30" s="14" t="n">
        <v>249</v>
      </c>
      <c r="F30" s="14">
        <f>D30*E30</f>
        <v/>
      </c>
      <c r="G30" s="18" t="n">
        <v>0.12</v>
      </c>
      <c r="H30" t="n">
        <v>5</v>
      </c>
    </row>
    <row r="31">
      <c r="A31" s="3" t="n">
        <v>45748</v>
      </c>
      <c r="B31" t="inlineStr">
        <is>
          <t>West</t>
        </is>
      </c>
      <c r="C31" t="inlineStr">
        <is>
          <t>Noise-cancelling Headset</t>
        </is>
      </c>
      <c r="D31" t="n">
        <v>9</v>
      </c>
      <c r="E31" s="14" t="n">
        <v>149</v>
      </c>
      <c r="F31" s="14">
        <f>D31*E31</f>
        <v/>
      </c>
      <c r="G31" s="18" t="n">
        <v>0.08</v>
      </c>
      <c r="H31" t="n">
        <v>3</v>
      </c>
    </row>
    <row r="32">
      <c r="A32" s="3" t="n">
        <v>45749</v>
      </c>
      <c r="B32" t="inlineStr">
        <is>
          <t>East</t>
        </is>
      </c>
      <c r="C32" t="inlineStr">
        <is>
          <t>Coffee Machine</t>
        </is>
      </c>
      <c r="D32" t="n">
        <v>11</v>
      </c>
      <c r="E32" s="14" t="n">
        <v>429</v>
      </c>
      <c r="F32" s="14">
        <f>D32*E32</f>
        <v/>
      </c>
      <c r="G32" s="18" t="n">
        <v>0</v>
      </c>
      <c r="H32" t="n">
        <v>3</v>
      </c>
    </row>
    <row r="33">
      <c r="A33" s="3" t="n">
        <v>45752</v>
      </c>
      <c r="B33" t="inlineStr">
        <is>
          <t>West</t>
        </is>
      </c>
      <c r="C33" t="inlineStr">
        <is>
          <t>27-inch Monitor</t>
        </is>
      </c>
      <c r="D33" t="n">
        <v>12</v>
      </c>
      <c r="E33" s="14" t="n">
        <v>319</v>
      </c>
      <c r="F33" s="14">
        <f>D33*E33</f>
        <v/>
      </c>
      <c r="G33" s="18" t="n">
        <v>0</v>
      </c>
      <c r="H33" t="n">
        <v>4</v>
      </c>
    </row>
    <row r="34">
      <c r="A34" s="3" t="n">
        <v>45756</v>
      </c>
      <c r="B34" t="inlineStr">
        <is>
          <t>East</t>
        </is>
      </c>
      <c r="C34" t="inlineStr">
        <is>
          <t>Desk Organizer</t>
        </is>
      </c>
      <c r="D34" t="n">
        <v>4</v>
      </c>
      <c r="E34" s="14" t="n">
        <v>18.75</v>
      </c>
      <c r="F34" s="14">
        <f>D34*E34</f>
        <v/>
      </c>
      <c r="G34" s="18" t="n">
        <v>0</v>
      </c>
      <c r="H34" t="n">
        <v>3</v>
      </c>
    </row>
    <row r="35">
      <c r="A35" s="3" t="n">
        <v>45758</v>
      </c>
      <c r="B35" t="inlineStr">
        <is>
          <t>North</t>
        </is>
      </c>
      <c r="C35" t="inlineStr">
        <is>
          <t>Desk Organizer</t>
        </is>
      </c>
      <c r="D35" t="n">
        <v>32</v>
      </c>
      <c r="E35" s="14" t="n">
        <v>18.75</v>
      </c>
      <c r="F35" s="14">
        <f>D35*E35</f>
        <v/>
      </c>
      <c r="G35" s="18" t="n">
        <v>0.1</v>
      </c>
      <c r="H35" t="n">
        <v>1</v>
      </c>
    </row>
    <row r="36">
      <c r="A36" s="3" t="n">
        <v>45762</v>
      </c>
      <c r="B36" t="inlineStr">
        <is>
          <t>North</t>
        </is>
      </c>
      <c r="C36" t="inlineStr">
        <is>
          <t>A4 Paper (box of 5 reams)</t>
        </is>
      </c>
      <c r="D36" t="n">
        <v>24</v>
      </c>
      <c r="E36" s="14" t="n">
        <v>27.5</v>
      </c>
      <c r="F36" s="14">
        <f>D36*E36</f>
        <v/>
      </c>
      <c r="G36" s="18" t="n">
        <v>0</v>
      </c>
      <c r="H36" t="n">
        <v>2</v>
      </c>
    </row>
    <row r="37">
      <c r="A37" s="3" t="n">
        <v>45766</v>
      </c>
      <c r="B37" t="inlineStr">
        <is>
          <t>West</t>
        </is>
      </c>
      <c r="C37" t="inlineStr">
        <is>
          <t>Noise-cancelling Headset</t>
        </is>
      </c>
      <c r="D37" t="n">
        <v>2</v>
      </c>
      <c r="E37" s="14" t="n">
        <v>149</v>
      </c>
      <c r="F37" s="14">
        <f>D37*E37</f>
        <v/>
      </c>
      <c r="G37" s="18" t="n">
        <v>0.1</v>
      </c>
      <c r="H37" t="n">
        <v>3</v>
      </c>
    </row>
    <row r="38">
      <c r="A38" s="3" t="n">
        <v>45768</v>
      </c>
      <c r="B38" t="inlineStr">
        <is>
          <t>North</t>
        </is>
      </c>
      <c r="C38" t="inlineStr">
        <is>
          <t>Coffee Machine</t>
        </is>
      </c>
      <c r="D38" t="n">
        <v>1</v>
      </c>
      <c r="E38" s="14" t="n">
        <v>429</v>
      </c>
      <c r="F38" s="14">
        <f>D38*E38</f>
        <v/>
      </c>
      <c r="G38" s="18" t="n">
        <v>0.1</v>
      </c>
      <c r="H38" t="n">
        <v>3</v>
      </c>
    </row>
    <row r="39">
      <c r="A39" s="3" t="n">
        <v>45772</v>
      </c>
      <c r="B39" t="inlineStr">
        <is>
          <t>East</t>
        </is>
      </c>
      <c r="C39" t="inlineStr">
        <is>
          <t>Ergonomic Office Chair</t>
        </is>
      </c>
      <c r="D39" t="n">
        <v>1</v>
      </c>
      <c r="E39" s="14" t="n">
        <v>249</v>
      </c>
      <c r="F39" s="14">
        <f>D39*E39</f>
        <v/>
      </c>
      <c r="G39" s="18" t="n">
        <v>0</v>
      </c>
      <c r="H39" t="n">
        <v>3</v>
      </c>
    </row>
    <row r="40">
      <c r="A40" s="3" t="n">
        <v>45774</v>
      </c>
      <c r="B40" t="inlineStr">
        <is>
          <t>West</t>
        </is>
      </c>
      <c r="C40" t="inlineStr">
        <is>
          <t>Ergonomic Office Chair</t>
        </is>
      </c>
      <c r="D40" t="n">
        <v>3</v>
      </c>
      <c r="E40" s="14" t="n">
        <v>249</v>
      </c>
      <c r="F40" s="14">
        <f>D40*E40</f>
        <v/>
      </c>
      <c r="G40" s="18" t="n">
        <v>0.1</v>
      </c>
      <c r="H40" t="n">
        <v>5</v>
      </c>
    </row>
    <row r="41">
      <c r="A41" s="3" t="n">
        <v>45777</v>
      </c>
      <c r="B41" t="inlineStr">
        <is>
          <t>East</t>
        </is>
      </c>
      <c r="C41" t="inlineStr">
        <is>
          <t>27-inch Monitor</t>
        </is>
      </c>
      <c r="D41" t="n">
        <v>14</v>
      </c>
      <c r="E41" s="14" t="n">
        <v>319</v>
      </c>
      <c r="F41" s="14">
        <f>D41*E41</f>
        <v/>
      </c>
      <c r="G41" s="18" t="n">
        <v>0.05</v>
      </c>
      <c r="H41" t="n">
        <v>2</v>
      </c>
    </row>
    <row r="42">
      <c r="A42" s="3" t="n">
        <v>45781</v>
      </c>
      <c r="B42" t="inlineStr">
        <is>
          <t>South</t>
        </is>
      </c>
      <c r="C42" t="inlineStr">
        <is>
          <t>Noise-cancelling Headset</t>
        </is>
      </c>
      <c r="D42" t="n">
        <v>1</v>
      </c>
      <c r="E42" s="14" t="n">
        <v>149</v>
      </c>
      <c r="F42" s="14">
        <f>D42*E42</f>
        <v/>
      </c>
      <c r="G42" s="18" t="n">
        <v>0.15</v>
      </c>
      <c r="H42" t="n">
        <v>4</v>
      </c>
    </row>
    <row r="43">
      <c r="A43" s="3" t="n">
        <v>45783</v>
      </c>
      <c r="B43" t="inlineStr">
        <is>
          <t>South</t>
        </is>
      </c>
      <c r="C43" t="inlineStr">
        <is>
          <t>Wireless Keyboard</t>
        </is>
      </c>
      <c r="D43" t="n">
        <v>16</v>
      </c>
      <c r="E43" s="14" t="n">
        <v>59.9</v>
      </c>
      <c r="F43" s="14">
        <f>D43*E43</f>
        <v/>
      </c>
      <c r="G43" s="18" t="n">
        <v>0</v>
      </c>
      <c r="H43" t="n">
        <v>4</v>
      </c>
    </row>
    <row r="44">
      <c r="A44" s="3" t="n">
        <v>45787</v>
      </c>
      <c r="B44" t="inlineStr">
        <is>
          <t>East</t>
        </is>
      </c>
      <c r="C44" t="inlineStr">
        <is>
          <t>27-inch Monitor</t>
        </is>
      </c>
      <c r="D44" t="n">
        <v>2</v>
      </c>
      <c r="E44" s="14" t="n">
        <v>319</v>
      </c>
      <c r="F44" s="14">
        <f>D44*E44</f>
        <v/>
      </c>
      <c r="G44" s="18" t="n">
        <v>0.08</v>
      </c>
      <c r="H44" t="n">
        <v>3</v>
      </c>
    </row>
    <row r="45">
      <c r="A45" s="3" t="n">
        <v>45788</v>
      </c>
      <c r="B45" t="inlineStr">
        <is>
          <t>North</t>
        </is>
      </c>
      <c r="C45" t="inlineStr">
        <is>
          <t>Desk Organizer</t>
        </is>
      </c>
      <c r="D45" t="n">
        <v>34</v>
      </c>
      <c r="E45" s="14" t="n">
        <v>18.75</v>
      </c>
      <c r="F45" s="14">
        <f>D45*E45</f>
        <v/>
      </c>
      <c r="G45" s="18" t="n">
        <v>0.05</v>
      </c>
      <c r="H45" t="n">
        <v>4</v>
      </c>
    </row>
    <row r="46">
      <c r="A46" s="3" t="n">
        <v>45793</v>
      </c>
      <c r="B46" t="inlineStr">
        <is>
          <t>South</t>
        </is>
      </c>
      <c r="C46" t="inlineStr">
        <is>
          <t>Wireless Keyboard</t>
        </is>
      </c>
      <c r="D46" t="n">
        <v>3</v>
      </c>
      <c r="E46" s="14" t="n">
        <v>59.9</v>
      </c>
      <c r="F46" s="14">
        <f>D46*E46</f>
        <v/>
      </c>
      <c r="G46" s="18" t="n">
        <v>0</v>
      </c>
      <c r="H46" t="n">
        <v>3</v>
      </c>
    </row>
    <row r="47">
      <c r="A47" s="3" t="n">
        <v>45795</v>
      </c>
      <c r="B47" t="inlineStr">
        <is>
          <t>East</t>
        </is>
      </c>
      <c r="C47" t="inlineStr">
        <is>
          <t>Desk Organizer</t>
        </is>
      </c>
      <c r="D47" t="n">
        <v>1</v>
      </c>
      <c r="E47" s="14" t="n">
        <v>18.75</v>
      </c>
      <c r="F47" s="14">
        <f>D47*E47</f>
        <v/>
      </c>
      <c r="G47" s="18" t="n">
        <v>0</v>
      </c>
      <c r="H47" t="n">
        <v>3</v>
      </c>
    </row>
    <row r="48">
      <c r="A48" s="3" t="n">
        <v>45797</v>
      </c>
      <c r="B48" t="inlineStr">
        <is>
          <t>North</t>
        </is>
      </c>
      <c r="C48" t="inlineStr">
        <is>
          <t>Wireless Keyboard</t>
        </is>
      </c>
      <c r="D48" t="n">
        <v>23</v>
      </c>
      <c r="E48" s="14" t="n">
        <v>59.9</v>
      </c>
      <c r="F48" s="14">
        <f>D48*E48</f>
        <v/>
      </c>
      <c r="G48" s="18" t="n">
        <v>0.05</v>
      </c>
      <c r="H48" t="n">
        <v>3</v>
      </c>
    </row>
    <row r="49">
      <c r="A49" s="3" t="n">
        <v>45801</v>
      </c>
      <c r="B49" t="inlineStr">
        <is>
          <t>North</t>
        </is>
      </c>
      <c r="C49" t="inlineStr">
        <is>
          <t>27-inch Monitor</t>
        </is>
      </c>
      <c r="D49" t="n">
        <v>2</v>
      </c>
      <c r="E49" s="14" t="n">
        <v>319</v>
      </c>
      <c r="F49" s="14">
        <f>D49*E49</f>
        <v/>
      </c>
      <c r="G49" s="18" t="n">
        <v>0.05</v>
      </c>
      <c r="H49" t="n">
        <v>1</v>
      </c>
    </row>
    <row r="50">
      <c r="A50" s="3" t="n">
        <v>45803</v>
      </c>
      <c r="B50" t="inlineStr">
        <is>
          <t>South</t>
        </is>
      </c>
      <c r="C50" t="inlineStr">
        <is>
          <t>27-inch Monitor</t>
        </is>
      </c>
      <c r="D50" t="n">
        <v>8</v>
      </c>
      <c r="E50" s="14" t="n">
        <v>319</v>
      </c>
      <c r="F50" s="14">
        <f>D50*E50</f>
        <v/>
      </c>
      <c r="G50" s="18" t="n">
        <v>0.05</v>
      </c>
      <c r="H50" t="n">
        <v>1</v>
      </c>
    </row>
    <row r="51">
      <c r="A51" s="3" t="n">
        <v>45808</v>
      </c>
      <c r="B51" t="inlineStr">
        <is>
          <t>North</t>
        </is>
      </c>
      <c r="C51" t="inlineStr">
        <is>
          <t>Wireless Keyboard</t>
        </is>
      </c>
      <c r="D51" t="n">
        <v>36</v>
      </c>
      <c r="E51" s="14" t="n">
        <v>59.9</v>
      </c>
      <c r="F51" s="14">
        <f>D51*E51</f>
        <v/>
      </c>
      <c r="G51" s="18" t="n">
        <v>0.05</v>
      </c>
      <c r="H51" t="n">
        <v>1</v>
      </c>
    </row>
    <row r="52">
      <c r="A52" s="3" t="n">
        <v>45809</v>
      </c>
      <c r="B52" t="inlineStr">
        <is>
          <t>East</t>
        </is>
      </c>
      <c r="C52" t="inlineStr">
        <is>
          <t>Wireless Keyboard</t>
        </is>
      </c>
      <c r="D52" t="n">
        <v>24</v>
      </c>
      <c r="E52" s="14" t="n">
        <v>59.9</v>
      </c>
      <c r="F52" s="14">
        <f>D52*E52</f>
        <v/>
      </c>
      <c r="G52" s="18" t="n">
        <v>0.05</v>
      </c>
      <c r="H52" t="n">
        <v>3</v>
      </c>
    </row>
    <row r="53">
      <c r="A53" s="3" t="n">
        <v>45814</v>
      </c>
      <c r="B53" t="inlineStr">
        <is>
          <t>West</t>
        </is>
      </c>
      <c r="C53" t="inlineStr">
        <is>
          <t>Coffee Machine</t>
        </is>
      </c>
      <c r="D53" t="n">
        <v>4</v>
      </c>
      <c r="E53" s="14" t="n">
        <v>429</v>
      </c>
      <c r="F53" s="14">
        <f>D53*E53</f>
        <v/>
      </c>
      <c r="G53" s="18" t="n">
        <v>0.05</v>
      </c>
      <c r="H53" t="n">
        <v>3</v>
      </c>
    </row>
    <row r="54">
      <c r="A54" s="3" t="n">
        <v>45817</v>
      </c>
      <c r="B54" t="inlineStr">
        <is>
          <t>South</t>
        </is>
      </c>
      <c r="C54" t="inlineStr">
        <is>
          <t>Wireless Keyboard</t>
        </is>
      </c>
      <c r="D54" t="n">
        <v>20</v>
      </c>
      <c r="E54" s="14" t="n">
        <v>59.9</v>
      </c>
      <c r="F54" s="14">
        <f>D54*E54</f>
        <v/>
      </c>
      <c r="G54" s="18" t="n">
        <v>0.05</v>
      </c>
      <c r="H54" t="n">
        <v>3</v>
      </c>
    </row>
    <row r="55">
      <c r="A55" s="3" t="n">
        <v>45819</v>
      </c>
      <c r="B55" t="inlineStr">
        <is>
          <t>South</t>
        </is>
      </c>
      <c r="C55" t="inlineStr">
        <is>
          <t>Coffee Machine</t>
        </is>
      </c>
      <c r="D55" t="n">
        <v>6</v>
      </c>
      <c r="E55" s="14" t="n">
        <v>429</v>
      </c>
      <c r="F55" s="14">
        <f>D55*E55</f>
        <v/>
      </c>
      <c r="G55" s="18" t="n">
        <v>0.12</v>
      </c>
      <c r="H55" t="n">
        <v>1</v>
      </c>
    </row>
    <row r="56">
      <c r="A56" s="3" t="n">
        <v>45823</v>
      </c>
      <c r="B56" t="inlineStr">
        <is>
          <t>South</t>
        </is>
      </c>
      <c r="C56" t="inlineStr">
        <is>
          <t>27-inch Monitor</t>
        </is>
      </c>
      <c r="D56" t="n">
        <v>15</v>
      </c>
      <c r="E56" s="14" t="n">
        <v>319</v>
      </c>
      <c r="F56" s="14">
        <f>D56*E56</f>
        <v/>
      </c>
      <c r="G56" s="18" t="n">
        <v>0</v>
      </c>
      <c r="H56" t="n">
        <v>2</v>
      </c>
    </row>
    <row r="57">
      <c r="A57" s="3" t="n">
        <v>45824</v>
      </c>
      <c r="B57" t="inlineStr">
        <is>
          <t>East</t>
        </is>
      </c>
      <c r="C57" t="inlineStr">
        <is>
          <t>Noise-cancelling Headset</t>
        </is>
      </c>
      <c r="D57" t="n">
        <v>15</v>
      </c>
      <c r="E57" s="14" t="n">
        <v>149</v>
      </c>
      <c r="F57" s="14">
        <f>D57*E57</f>
        <v/>
      </c>
      <c r="G57" s="18" t="n">
        <v>0.05</v>
      </c>
      <c r="H57" t="n">
        <v>5</v>
      </c>
    </row>
    <row r="58">
      <c r="A58" s="3" t="n">
        <v>45829</v>
      </c>
      <c r="B58" t="inlineStr">
        <is>
          <t>South</t>
        </is>
      </c>
      <c r="C58" t="inlineStr">
        <is>
          <t>Coffee Machine</t>
        </is>
      </c>
      <c r="D58" t="n">
        <v>9</v>
      </c>
      <c r="E58" s="14" t="n">
        <v>429</v>
      </c>
      <c r="F58" s="14">
        <f>D58*E58</f>
        <v/>
      </c>
      <c r="G58" s="18" t="n">
        <v>0.12</v>
      </c>
      <c r="H58" t="n">
        <v>4</v>
      </c>
    </row>
    <row r="59">
      <c r="A59" s="3" t="n">
        <v>45832</v>
      </c>
      <c r="B59" t="inlineStr">
        <is>
          <t>North</t>
        </is>
      </c>
      <c r="C59" t="inlineStr">
        <is>
          <t>Desk Organizer</t>
        </is>
      </c>
      <c r="D59" t="n">
        <v>21</v>
      </c>
      <c r="E59" s="14" t="n">
        <v>18.75</v>
      </c>
      <c r="F59" s="14">
        <f>D59*E59</f>
        <v/>
      </c>
      <c r="G59" s="18" t="n">
        <v>0.15</v>
      </c>
      <c r="H59" t="n">
        <v>2</v>
      </c>
    </row>
    <row r="60">
      <c r="A60" s="3" t="n">
        <v>45833</v>
      </c>
      <c r="B60" t="inlineStr">
        <is>
          <t>East</t>
        </is>
      </c>
      <c r="C60" t="inlineStr">
        <is>
          <t>27-inch Monitor</t>
        </is>
      </c>
      <c r="D60" t="n">
        <v>15</v>
      </c>
      <c r="E60" s="14" t="n">
        <v>319</v>
      </c>
      <c r="F60" s="14">
        <f>D60*E60</f>
        <v/>
      </c>
      <c r="G60" s="18" t="n">
        <v>0</v>
      </c>
      <c r="H60" t="n">
        <v>5</v>
      </c>
    </row>
    <row r="61">
      <c r="A61" s="3" t="n">
        <v>45837</v>
      </c>
      <c r="B61" t="inlineStr">
        <is>
          <t>North</t>
        </is>
      </c>
      <c r="C61" t="inlineStr">
        <is>
          <t>Ergonomic Office Chair</t>
        </is>
      </c>
      <c r="D61" t="n">
        <v>11</v>
      </c>
      <c r="E61" s="14" t="n">
        <v>249</v>
      </c>
      <c r="F61" s="14">
        <f>D61*E61</f>
        <v/>
      </c>
      <c r="G61" s="18" t="n">
        <v>0</v>
      </c>
      <c r="H61" t="n">
        <v>3</v>
      </c>
    </row>
    <row r="62">
      <c r="A62" s="3" t="n">
        <v>45840</v>
      </c>
      <c r="B62" t="inlineStr">
        <is>
          <t>East</t>
        </is>
      </c>
      <c r="C62" t="inlineStr">
        <is>
          <t>Noise-cancelling Headset</t>
        </is>
      </c>
      <c r="D62" t="n">
        <v>6</v>
      </c>
      <c r="E62" s="14" t="n">
        <v>149</v>
      </c>
      <c r="F62" s="14">
        <f>D62*E62</f>
        <v/>
      </c>
      <c r="G62" s="18" t="n">
        <v>0.05</v>
      </c>
      <c r="H62" t="n">
        <v>1</v>
      </c>
    </row>
    <row r="63">
      <c r="A63" s="3" t="n">
        <v>45844</v>
      </c>
      <c r="B63" t="inlineStr">
        <is>
          <t>North</t>
        </is>
      </c>
      <c r="C63" t="inlineStr">
        <is>
          <t>Wireless Keyboard</t>
        </is>
      </c>
      <c r="D63" t="n">
        <v>39</v>
      </c>
      <c r="E63" s="14" t="n">
        <v>59.9</v>
      </c>
      <c r="F63" s="14">
        <f>D63*E63</f>
        <v/>
      </c>
      <c r="G63" s="18" t="n">
        <v>0</v>
      </c>
      <c r="H63" t="n">
        <v>3</v>
      </c>
    </row>
    <row r="64">
      <c r="A64" s="3" t="n">
        <v>45848</v>
      </c>
      <c r="B64" t="inlineStr">
        <is>
          <t>South</t>
        </is>
      </c>
      <c r="C64" t="inlineStr">
        <is>
          <t>A4 Paper (box of 5 reams)</t>
        </is>
      </c>
      <c r="D64" t="n">
        <v>22</v>
      </c>
      <c r="E64" s="14" t="n">
        <v>27.5</v>
      </c>
      <c r="F64" s="14">
        <f>D64*E64</f>
        <v/>
      </c>
      <c r="G64" s="18" t="n">
        <v>0.08</v>
      </c>
      <c r="H64" t="n">
        <v>2</v>
      </c>
    </row>
    <row r="65">
      <c r="A65" s="3" t="n">
        <v>45851</v>
      </c>
      <c r="B65" t="inlineStr">
        <is>
          <t>North</t>
        </is>
      </c>
      <c r="C65" t="inlineStr">
        <is>
          <t>Standing Desk</t>
        </is>
      </c>
      <c r="D65" t="n">
        <v>8</v>
      </c>
      <c r="E65" s="14" t="n">
        <v>539</v>
      </c>
      <c r="F65" s="14">
        <f>D65*E65</f>
        <v/>
      </c>
      <c r="G65" s="18" t="n">
        <v>0.05</v>
      </c>
      <c r="H65" t="n">
        <v>5</v>
      </c>
    </row>
    <row r="66">
      <c r="A66" s="3" t="n">
        <v>45852</v>
      </c>
      <c r="B66" t="inlineStr">
        <is>
          <t>East</t>
        </is>
      </c>
      <c r="C66" t="inlineStr">
        <is>
          <t>Standing Desk</t>
        </is>
      </c>
      <c r="D66" t="n">
        <v>3</v>
      </c>
      <c r="E66" s="14" t="n">
        <v>539</v>
      </c>
      <c r="F66" s="14">
        <f>D66*E66</f>
        <v/>
      </c>
      <c r="G66" s="18" t="n">
        <v>0.05</v>
      </c>
      <c r="H66" t="n">
        <v>3</v>
      </c>
    </row>
    <row r="67">
      <c r="A67" s="3" t="n">
        <v>45855</v>
      </c>
      <c r="B67" t="inlineStr">
        <is>
          <t>West</t>
        </is>
      </c>
      <c r="C67" t="inlineStr">
        <is>
          <t>27-inch Monitor</t>
        </is>
      </c>
      <c r="D67" t="n">
        <v>7</v>
      </c>
      <c r="E67" s="14" t="n">
        <v>319</v>
      </c>
      <c r="F67" s="14">
        <f>D67*E67</f>
        <v/>
      </c>
      <c r="G67" s="18" t="n">
        <v>0.15</v>
      </c>
      <c r="H67" t="n">
        <v>1</v>
      </c>
    </row>
    <row r="68">
      <c r="A68" s="3" t="n">
        <v>45859</v>
      </c>
      <c r="B68" t="inlineStr">
        <is>
          <t>South</t>
        </is>
      </c>
      <c r="C68" t="inlineStr">
        <is>
          <t>27-inch Monitor</t>
        </is>
      </c>
      <c r="D68" t="n">
        <v>4</v>
      </c>
      <c r="E68" s="14" t="n">
        <v>319</v>
      </c>
      <c r="F68" s="14">
        <f>D68*E68</f>
        <v/>
      </c>
      <c r="G68" s="18" t="n">
        <v>0</v>
      </c>
      <c r="H68" t="n">
        <v>4</v>
      </c>
    </row>
    <row r="69">
      <c r="A69" s="3" t="n">
        <v>45861</v>
      </c>
      <c r="B69" t="inlineStr">
        <is>
          <t>South</t>
        </is>
      </c>
      <c r="C69" t="inlineStr">
        <is>
          <t>Noise-cancelling Headset</t>
        </is>
      </c>
      <c r="D69" t="n">
        <v>3</v>
      </c>
      <c r="E69" s="14" t="n">
        <v>149</v>
      </c>
      <c r="F69" s="14">
        <f>D69*E69</f>
        <v/>
      </c>
      <c r="G69" s="18" t="n">
        <v>0</v>
      </c>
      <c r="H69" t="n">
        <v>1</v>
      </c>
    </row>
    <row r="70">
      <c r="A70" s="3" t="n">
        <v>45865</v>
      </c>
      <c r="B70" t="inlineStr">
        <is>
          <t>West</t>
        </is>
      </c>
      <c r="C70" t="inlineStr">
        <is>
          <t>Desk Organizer</t>
        </is>
      </c>
      <c r="D70" t="n">
        <v>31</v>
      </c>
      <c r="E70" s="14" t="n">
        <v>18.75</v>
      </c>
      <c r="F70" s="14">
        <f>D70*E70</f>
        <v/>
      </c>
      <c r="G70" s="18" t="n">
        <v>0.05</v>
      </c>
      <c r="H70" t="n">
        <v>3</v>
      </c>
    </row>
    <row r="71">
      <c r="A71" s="3" t="n">
        <v>45868</v>
      </c>
      <c r="B71" t="inlineStr">
        <is>
          <t>South</t>
        </is>
      </c>
      <c r="C71" t="inlineStr">
        <is>
          <t>A4 Paper (box of 5 reams)</t>
        </is>
      </c>
      <c r="D71" t="n">
        <v>18</v>
      </c>
      <c r="E71" s="14" t="n">
        <v>27.5</v>
      </c>
      <c r="F71" s="14">
        <f>D71*E71</f>
        <v/>
      </c>
      <c r="G71" s="18" t="n">
        <v>0</v>
      </c>
      <c r="H71" t="n">
        <v>5</v>
      </c>
    </row>
    <row r="72">
      <c r="A72" s="3" t="n">
        <v>45872</v>
      </c>
      <c r="B72" t="inlineStr">
        <is>
          <t>North</t>
        </is>
      </c>
      <c r="C72" t="inlineStr">
        <is>
          <t>A4 Paper (box of 5 reams)</t>
        </is>
      </c>
      <c r="D72" t="n">
        <v>20</v>
      </c>
      <c r="E72" s="14" t="n">
        <v>27.5</v>
      </c>
      <c r="F72" s="14">
        <f>D72*E72</f>
        <v/>
      </c>
      <c r="G72" s="18" t="n">
        <v>0.05</v>
      </c>
      <c r="H72" t="n">
        <v>4</v>
      </c>
    </row>
    <row r="73">
      <c r="A73" s="3" t="n">
        <v>45874</v>
      </c>
      <c r="B73" t="inlineStr">
        <is>
          <t>East</t>
        </is>
      </c>
      <c r="C73" t="inlineStr">
        <is>
          <t>Wireless Keyboard</t>
        </is>
      </c>
      <c r="D73" t="n">
        <v>11</v>
      </c>
      <c r="E73" s="14" t="n">
        <v>59.9</v>
      </c>
      <c r="F73" s="14">
        <f>D73*E73</f>
        <v/>
      </c>
      <c r="G73" s="18" t="n">
        <v>0.15</v>
      </c>
      <c r="H73" t="n">
        <v>2</v>
      </c>
    </row>
    <row r="74">
      <c r="A74" s="3" t="n">
        <v>45878</v>
      </c>
      <c r="B74" t="inlineStr">
        <is>
          <t>South</t>
        </is>
      </c>
      <c r="C74" t="inlineStr">
        <is>
          <t>27-inch Monitor</t>
        </is>
      </c>
      <c r="D74" t="n">
        <v>5</v>
      </c>
      <c r="E74" s="14" t="n">
        <v>319</v>
      </c>
      <c r="F74" s="14">
        <f>D74*E74</f>
        <v/>
      </c>
      <c r="G74" s="18" t="n">
        <v>0</v>
      </c>
      <c r="H74" t="n">
        <v>3</v>
      </c>
    </row>
    <row r="75">
      <c r="A75" s="3" t="n">
        <v>45880</v>
      </c>
      <c r="B75" t="inlineStr">
        <is>
          <t>North</t>
        </is>
      </c>
      <c r="C75" t="inlineStr">
        <is>
          <t>Wireless Keyboard</t>
        </is>
      </c>
      <c r="D75" t="n">
        <v>20</v>
      </c>
      <c r="E75" s="14" t="n">
        <v>59.9</v>
      </c>
      <c r="F75" s="14">
        <f>D75*E75</f>
        <v/>
      </c>
      <c r="G75" s="18" t="n">
        <v>0.12</v>
      </c>
      <c r="H75" t="n">
        <v>2</v>
      </c>
    </row>
    <row r="76">
      <c r="A76" s="3" t="n">
        <v>45882</v>
      </c>
      <c r="B76" t="inlineStr">
        <is>
          <t>East</t>
        </is>
      </c>
      <c r="C76" t="inlineStr">
        <is>
          <t>Standing Desk</t>
        </is>
      </c>
      <c r="D76" t="n">
        <v>5</v>
      </c>
      <c r="E76" s="14" t="n">
        <v>539</v>
      </c>
      <c r="F76" s="14">
        <f>D76*E76</f>
        <v/>
      </c>
      <c r="G76" s="18" t="n">
        <v>0.08</v>
      </c>
      <c r="H76" t="n">
        <v>3</v>
      </c>
    </row>
    <row r="77">
      <c r="A77" s="3" t="n">
        <v>45886</v>
      </c>
      <c r="B77" t="inlineStr">
        <is>
          <t>West</t>
        </is>
      </c>
      <c r="C77" t="inlineStr">
        <is>
          <t>Standing Desk</t>
        </is>
      </c>
      <c r="D77" t="n">
        <v>13</v>
      </c>
      <c r="E77" s="14" t="n">
        <v>539</v>
      </c>
      <c r="F77" s="14">
        <f>D77*E77</f>
        <v/>
      </c>
      <c r="G77" s="18" t="n">
        <v>0.15</v>
      </c>
      <c r="H77" t="n">
        <v>5</v>
      </c>
    </row>
    <row r="78">
      <c r="A78" s="3" t="n">
        <v>45890</v>
      </c>
      <c r="B78" t="inlineStr">
        <is>
          <t>South</t>
        </is>
      </c>
      <c r="C78" t="inlineStr">
        <is>
          <t>Coffee Machine</t>
        </is>
      </c>
      <c r="D78" t="n">
        <v>6</v>
      </c>
      <c r="E78" s="14" t="n">
        <v>429</v>
      </c>
      <c r="F78" s="14">
        <f>D78*E78</f>
        <v/>
      </c>
      <c r="G78" s="18" t="n">
        <v>0.12</v>
      </c>
      <c r="H78" t="n">
        <v>1</v>
      </c>
    </row>
    <row r="79">
      <c r="A79" s="3" t="n">
        <v>45891</v>
      </c>
      <c r="B79" t="inlineStr">
        <is>
          <t>West</t>
        </is>
      </c>
      <c r="C79" t="inlineStr">
        <is>
          <t>A4 Paper (box of 5 reams)</t>
        </is>
      </c>
      <c r="D79" t="n">
        <v>34</v>
      </c>
      <c r="E79" s="14" t="n">
        <v>27.5</v>
      </c>
      <c r="F79" s="14">
        <f>D79*E79</f>
        <v/>
      </c>
      <c r="G79" s="18" t="n">
        <v>0</v>
      </c>
      <c r="H79" t="n">
        <v>3</v>
      </c>
    </row>
    <row r="80">
      <c r="A80" s="3" t="n">
        <v>45895</v>
      </c>
      <c r="B80" t="inlineStr">
        <is>
          <t>East</t>
        </is>
      </c>
      <c r="C80" t="inlineStr">
        <is>
          <t>27-inch Monitor</t>
        </is>
      </c>
      <c r="D80" t="n">
        <v>6</v>
      </c>
      <c r="E80" s="14" t="n">
        <v>319</v>
      </c>
      <c r="F80" s="14">
        <f>D80*E80</f>
        <v/>
      </c>
      <c r="G80" s="18" t="n">
        <v>0.15</v>
      </c>
      <c r="H80" t="n">
        <v>2</v>
      </c>
    </row>
    <row r="81">
      <c r="A81" s="3" t="n">
        <v>45898</v>
      </c>
      <c r="B81" t="inlineStr">
        <is>
          <t>North</t>
        </is>
      </c>
      <c r="C81" t="inlineStr">
        <is>
          <t>Desk Organizer</t>
        </is>
      </c>
      <c r="D81" t="n">
        <v>7</v>
      </c>
      <c r="E81" s="14" t="n">
        <v>18.75</v>
      </c>
      <c r="F81" s="14">
        <f>D81*E81</f>
        <v/>
      </c>
      <c r="G81" s="18" t="n">
        <v>0.12</v>
      </c>
      <c r="H81" t="n">
        <v>5</v>
      </c>
    </row>
    <row r="82">
      <c r="A82" s="3" t="n">
        <v>45900</v>
      </c>
      <c r="B82" t="inlineStr">
        <is>
          <t>North</t>
        </is>
      </c>
      <c r="C82" t="inlineStr">
        <is>
          <t>Desk Organizer</t>
        </is>
      </c>
      <c r="D82" t="n">
        <v>21</v>
      </c>
      <c r="E82" s="14" t="n">
        <v>18.75</v>
      </c>
      <c r="F82" s="14">
        <f>D82*E82</f>
        <v/>
      </c>
      <c r="G82" s="18" t="n">
        <v>0.12</v>
      </c>
      <c r="H82" t="n">
        <v>4</v>
      </c>
    </row>
    <row r="83">
      <c r="A83" s="3" t="n">
        <v>45905</v>
      </c>
      <c r="B83" t="inlineStr">
        <is>
          <t>West</t>
        </is>
      </c>
      <c r="C83" t="inlineStr">
        <is>
          <t>Coffee Machine</t>
        </is>
      </c>
      <c r="D83" t="n">
        <v>15</v>
      </c>
      <c r="E83" s="14" t="n">
        <v>429</v>
      </c>
      <c r="F83" s="14">
        <f>D83*E83</f>
        <v/>
      </c>
      <c r="G83" s="18" t="n">
        <v>0.05</v>
      </c>
      <c r="H83" t="n">
        <v>1</v>
      </c>
    </row>
    <row r="84">
      <c r="A84" s="3" t="n">
        <v>45908</v>
      </c>
      <c r="B84" t="inlineStr">
        <is>
          <t>East</t>
        </is>
      </c>
      <c r="C84" t="inlineStr">
        <is>
          <t>Wireless Keyboard</t>
        </is>
      </c>
      <c r="D84" t="n">
        <v>34</v>
      </c>
      <c r="E84" s="14" t="n">
        <v>59.9</v>
      </c>
      <c r="F84" s="14">
        <f>D84*E84</f>
        <v/>
      </c>
      <c r="G84" s="18" t="n">
        <v>0</v>
      </c>
      <c r="H84" t="n">
        <v>1</v>
      </c>
    </row>
    <row r="85">
      <c r="A85" s="3" t="n">
        <v>45910</v>
      </c>
      <c r="B85" t="inlineStr">
        <is>
          <t>North</t>
        </is>
      </c>
      <c r="C85" t="inlineStr">
        <is>
          <t>Standing Desk</t>
        </is>
      </c>
      <c r="D85" t="n">
        <v>15</v>
      </c>
      <c r="E85" s="14" t="n">
        <v>539</v>
      </c>
      <c r="F85" s="14">
        <f>D85*E85</f>
        <v/>
      </c>
      <c r="G85" s="18" t="n">
        <v>0.05</v>
      </c>
      <c r="H85" t="n">
        <v>1</v>
      </c>
    </row>
    <row r="86">
      <c r="A86" s="3" t="n">
        <v>45914</v>
      </c>
      <c r="B86" t="inlineStr">
        <is>
          <t>East</t>
        </is>
      </c>
      <c r="C86" t="inlineStr">
        <is>
          <t>A4 Paper (box of 5 reams)</t>
        </is>
      </c>
      <c r="D86" t="n">
        <v>31</v>
      </c>
      <c r="E86" s="14" t="n">
        <v>27.5</v>
      </c>
      <c r="F86" s="14">
        <f>D86*E86</f>
        <v/>
      </c>
      <c r="G86" s="18" t="n">
        <v>0.15</v>
      </c>
      <c r="H86" t="n">
        <v>1</v>
      </c>
    </row>
    <row r="87">
      <c r="A87" s="3" t="n">
        <v>45916</v>
      </c>
      <c r="B87" t="inlineStr">
        <is>
          <t>West</t>
        </is>
      </c>
      <c r="C87" t="inlineStr">
        <is>
          <t>27-inch Monitor</t>
        </is>
      </c>
      <c r="D87" t="n">
        <v>7</v>
      </c>
      <c r="E87" s="14" t="n">
        <v>319</v>
      </c>
      <c r="F87" s="14">
        <f>D87*E87</f>
        <v/>
      </c>
      <c r="G87" s="18" t="n">
        <v>0.05</v>
      </c>
      <c r="H87" t="n">
        <v>2</v>
      </c>
    </row>
    <row r="88">
      <c r="A88" s="3" t="n">
        <v>45919</v>
      </c>
      <c r="B88" t="inlineStr">
        <is>
          <t>East</t>
        </is>
      </c>
      <c r="C88" t="inlineStr">
        <is>
          <t>Wireless Keyboard</t>
        </is>
      </c>
      <c r="D88" t="n">
        <v>27</v>
      </c>
      <c r="E88" s="14" t="n">
        <v>59.9</v>
      </c>
      <c r="F88" s="14">
        <f>D88*E88</f>
        <v/>
      </c>
      <c r="G88" s="18" t="n">
        <v>0.15</v>
      </c>
      <c r="H88" t="n">
        <v>1</v>
      </c>
    </row>
    <row r="89">
      <c r="A89" s="3" t="n">
        <v>45922</v>
      </c>
      <c r="B89" t="inlineStr">
        <is>
          <t>South</t>
        </is>
      </c>
      <c r="C89" t="inlineStr">
        <is>
          <t>A4 Paper (box of 5 reams)</t>
        </is>
      </c>
      <c r="D89" t="n">
        <v>38</v>
      </c>
      <c r="E89" s="14" t="n">
        <v>27.5</v>
      </c>
      <c r="F89" s="14">
        <f>D89*E89</f>
        <v/>
      </c>
      <c r="G89" s="18" t="n">
        <v>0.15</v>
      </c>
      <c r="H89" t="n">
        <v>4</v>
      </c>
    </row>
    <row r="90">
      <c r="A90" s="3" t="n">
        <v>45925</v>
      </c>
      <c r="B90" t="inlineStr">
        <is>
          <t>South</t>
        </is>
      </c>
      <c r="C90" t="inlineStr">
        <is>
          <t>Wireless Keyboard</t>
        </is>
      </c>
      <c r="D90" t="n">
        <v>25</v>
      </c>
      <c r="E90" s="14" t="n">
        <v>59.9</v>
      </c>
      <c r="F90" s="14">
        <f>D90*E90</f>
        <v/>
      </c>
      <c r="G90" s="18" t="n">
        <v>0.08</v>
      </c>
      <c r="H90" t="n">
        <v>4</v>
      </c>
    </row>
    <row r="91">
      <c r="A91" s="3" t="n">
        <v>45927</v>
      </c>
      <c r="B91" t="inlineStr">
        <is>
          <t>West</t>
        </is>
      </c>
      <c r="C91" t="inlineStr">
        <is>
          <t>Coffee Machine</t>
        </is>
      </c>
      <c r="D91" t="n">
        <v>11</v>
      </c>
      <c r="E91" s="14" t="n">
        <v>429</v>
      </c>
      <c r="F91" s="14">
        <f>D91*E91</f>
        <v/>
      </c>
      <c r="G91" s="18" t="n">
        <v>0</v>
      </c>
      <c r="H91" t="n">
        <v>4</v>
      </c>
    </row>
    <row r="92">
      <c r="A92" s="3" t="n">
        <v>45932</v>
      </c>
      <c r="B92" t="inlineStr">
        <is>
          <t>South</t>
        </is>
      </c>
      <c r="C92" t="inlineStr">
        <is>
          <t>Ergonomic Office Chair</t>
        </is>
      </c>
      <c r="D92" t="n">
        <v>12</v>
      </c>
      <c r="E92" s="14" t="n">
        <v>249</v>
      </c>
      <c r="F92" s="14">
        <f>D92*E92</f>
        <v/>
      </c>
      <c r="G92" s="18" t="n">
        <v>0.15</v>
      </c>
      <c r="H92" t="n">
        <v>2</v>
      </c>
    </row>
    <row r="93">
      <c r="A93" s="3" t="n">
        <v>45935</v>
      </c>
      <c r="B93" t="inlineStr">
        <is>
          <t>West</t>
        </is>
      </c>
      <c r="C93" t="inlineStr">
        <is>
          <t>Desk Organizer</t>
        </is>
      </c>
      <c r="D93" t="n">
        <v>1</v>
      </c>
      <c r="E93" s="14" t="n">
        <v>18.75</v>
      </c>
      <c r="F93" s="14">
        <f>D93*E93</f>
        <v/>
      </c>
      <c r="G93" s="18" t="n">
        <v>0.05</v>
      </c>
      <c r="H93" t="n">
        <v>1</v>
      </c>
    </row>
    <row r="94">
      <c r="A94" s="3" t="n">
        <v>45938</v>
      </c>
      <c r="B94" t="inlineStr">
        <is>
          <t>North</t>
        </is>
      </c>
      <c r="C94" t="inlineStr">
        <is>
          <t>Ergonomic Office Chair</t>
        </is>
      </c>
      <c r="D94" t="n">
        <v>6</v>
      </c>
      <c r="E94" s="14" t="n">
        <v>249</v>
      </c>
      <c r="F94" s="14">
        <f>D94*E94</f>
        <v/>
      </c>
      <c r="G94" s="18" t="n">
        <v>0.1</v>
      </c>
      <c r="H94" t="n">
        <v>1</v>
      </c>
    </row>
    <row r="95">
      <c r="A95" s="3" t="n">
        <v>45939</v>
      </c>
      <c r="B95" t="inlineStr">
        <is>
          <t>East</t>
        </is>
      </c>
      <c r="C95" t="inlineStr">
        <is>
          <t>Wireless Keyboard</t>
        </is>
      </c>
      <c r="D95" t="n">
        <v>35</v>
      </c>
      <c r="E95" s="14" t="n">
        <v>59.9</v>
      </c>
      <c r="F95" s="14">
        <f>D95*E95</f>
        <v/>
      </c>
      <c r="G95" s="18" t="n">
        <v>0.08</v>
      </c>
      <c r="H95" t="n">
        <v>3</v>
      </c>
    </row>
    <row r="96">
      <c r="A96" s="3" t="n">
        <v>45943</v>
      </c>
      <c r="B96" t="inlineStr">
        <is>
          <t>East</t>
        </is>
      </c>
      <c r="C96" t="inlineStr">
        <is>
          <t>Noise-cancelling Headset</t>
        </is>
      </c>
      <c r="D96" t="n">
        <v>9</v>
      </c>
      <c r="E96" s="14" t="n">
        <v>149</v>
      </c>
      <c r="F96" s="14">
        <f>D96*E96</f>
        <v/>
      </c>
      <c r="G96" s="18" t="n">
        <v>0</v>
      </c>
      <c r="H96" t="n">
        <v>5</v>
      </c>
    </row>
    <row r="97">
      <c r="A97" s="3" t="n">
        <v>45946</v>
      </c>
      <c r="B97" t="inlineStr">
        <is>
          <t>West</t>
        </is>
      </c>
      <c r="C97" t="inlineStr">
        <is>
          <t>A4 Paper (box of 5 reams)</t>
        </is>
      </c>
      <c r="D97" t="n">
        <v>38</v>
      </c>
      <c r="E97" s="14" t="n">
        <v>27.5</v>
      </c>
      <c r="F97" s="14">
        <f>D97*E97</f>
        <v/>
      </c>
      <c r="G97" s="18" t="n">
        <v>0.08</v>
      </c>
      <c r="H97" t="n">
        <v>2</v>
      </c>
    </row>
    <row r="98">
      <c r="A98" s="3" t="n">
        <v>45949</v>
      </c>
      <c r="B98" t="inlineStr">
        <is>
          <t>South</t>
        </is>
      </c>
      <c r="C98" t="inlineStr">
        <is>
          <t>Desk Organizer</t>
        </is>
      </c>
      <c r="D98" t="n">
        <v>20</v>
      </c>
      <c r="E98" s="14" t="n">
        <v>18.75</v>
      </c>
      <c r="F98" s="14">
        <f>D98*E98</f>
        <v/>
      </c>
      <c r="G98" s="18" t="n">
        <v>0.05</v>
      </c>
      <c r="H98" t="n">
        <v>4</v>
      </c>
    </row>
    <row r="99">
      <c r="A99" s="3" t="n">
        <v>45953</v>
      </c>
      <c r="B99" t="inlineStr">
        <is>
          <t>East</t>
        </is>
      </c>
      <c r="C99" t="inlineStr">
        <is>
          <t>Coffee Machine</t>
        </is>
      </c>
      <c r="D99" t="n">
        <v>10</v>
      </c>
      <c r="E99" s="14" t="n">
        <v>429</v>
      </c>
      <c r="F99" s="14">
        <f>D99*E99</f>
        <v/>
      </c>
      <c r="G99" s="18" t="n">
        <v>0</v>
      </c>
      <c r="H99" t="n">
        <v>3</v>
      </c>
    </row>
    <row r="100">
      <c r="A100" s="3" t="n">
        <v>45954</v>
      </c>
      <c r="B100" t="inlineStr">
        <is>
          <t>West</t>
        </is>
      </c>
      <c r="C100" t="inlineStr">
        <is>
          <t>A4 Paper (box of 5 reams)</t>
        </is>
      </c>
      <c r="D100" t="n">
        <v>11</v>
      </c>
      <c r="E100" s="14" t="n">
        <v>27.5</v>
      </c>
      <c r="F100" s="14">
        <f>D100*E100</f>
        <v/>
      </c>
      <c r="G100" s="18" t="n">
        <v>0.05</v>
      </c>
      <c r="H100" t="n">
        <v>3</v>
      </c>
    </row>
    <row r="101">
      <c r="A101" s="3" t="n">
        <v>45959</v>
      </c>
      <c r="B101" t="inlineStr">
        <is>
          <t>North</t>
        </is>
      </c>
      <c r="C101" t="inlineStr">
        <is>
          <t>Wireless Keyboard</t>
        </is>
      </c>
      <c r="D101" t="n">
        <v>27</v>
      </c>
      <c r="E101" s="14" t="n">
        <v>59.9</v>
      </c>
      <c r="F101" s="14">
        <f>D101*E101</f>
        <v/>
      </c>
      <c r="G101" s="18" t="n">
        <v>0.05</v>
      </c>
      <c r="H101" t="n">
        <v>5</v>
      </c>
    </row>
    <row r="102">
      <c r="A102" s="3" t="n">
        <v>45960</v>
      </c>
      <c r="B102" t="inlineStr">
        <is>
          <t>South</t>
        </is>
      </c>
      <c r="C102" t="inlineStr">
        <is>
          <t>Standing Desk</t>
        </is>
      </c>
      <c r="D102" t="n">
        <v>1</v>
      </c>
      <c r="E102" s="14" t="n">
        <v>539</v>
      </c>
      <c r="F102" s="14">
        <f>D102*E102</f>
        <v/>
      </c>
      <c r="G102" s="18" t="n">
        <v>0</v>
      </c>
      <c r="H102" t="n">
        <v>5</v>
      </c>
    </row>
    <row r="103">
      <c r="A103" s="3" t="n">
        <v>45964</v>
      </c>
      <c r="B103" t="inlineStr">
        <is>
          <t>North</t>
        </is>
      </c>
      <c r="C103" t="inlineStr">
        <is>
          <t>Standing Desk</t>
        </is>
      </c>
      <c r="D103" t="n">
        <v>1</v>
      </c>
      <c r="E103" s="14" t="n">
        <v>539</v>
      </c>
      <c r="F103" s="14">
        <f>D103*E103</f>
        <v/>
      </c>
      <c r="G103" s="18" t="n">
        <v>0.05</v>
      </c>
      <c r="H103" t="n">
        <v>1</v>
      </c>
    </row>
    <row r="104">
      <c r="A104" s="3" t="n">
        <v>45968</v>
      </c>
      <c r="B104" t="inlineStr">
        <is>
          <t>South</t>
        </is>
      </c>
      <c r="C104" t="inlineStr">
        <is>
          <t>Desk Organizer</t>
        </is>
      </c>
      <c r="D104" t="n">
        <v>29</v>
      </c>
      <c r="E104" s="14" t="n">
        <v>18.75</v>
      </c>
      <c r="F104" s="14">
        <f>D104*E104</f>
        <v/>
      </c>
      <c r="G104" s="18" t="n">
        <v>0.05</v>
      </c>
      <c r="H104" t="n">
        <v>4</v>
      </c>
    </row>
    <row r="105">
      <c r="A105" s="3" t="n">
        <v>45969</v>
      </c>
      <c r="B105" t="inlineStr">
        <is>
          <t>North</t>
        </is>
      </c>
      <c r="C105" t="inlineStr">
        <is>
          <t>Coffee Machine</t>
        </is>
      </c>
      <c r="D105" t="n">
        <v>4</v>
      </c>
      <c r="E105" s="14" t="n">
        <v>429</v>
      </c>
      <c r="F105" s="14">
        <f>D105*E105</f>
        <v/>
      </c>
      <c r="G105" s="18" t="n">
        <v>0.15</v>
      </c>
      <c r="H105" t="n">
        <v>3</v>
      </c>
    </row>
    <row r="106">
      <c r="A106" s="3" t="n">
        <v>45973</v>
      </c>
      <c r="B106" t="inlineStr">
        <is>
          <t>North</t>
        </is>
      </c>
      <c r="C106" t="inlineStr">
        <is>
          <t>Wireless Keyboard</t>
        </is>
      </c>
      <c r="D106" t="n">
        <v>24</v>
      </c>
      <c r="E106" s="14" t="n">
        <v>59.9</v>
      </c>
      <c r="F106" s="14">
        <f>D106*E106</f>
        <v/>
      </c>
      <c r="G106" s="18" t="n">
        <v>0.1</v>
      </c>
      <c r="H106" t="n">
        <v>1</v>
      </c>
    </row>
    <row r="107">
      <c r="A107" s="3" t="n">
        <v>45975</v>
      </c>
      <c r="B107" t="inlineStr">
        <is>
          <t>North</t>
        </is>
      </c>
      <c r="C107" t="inlineStr">
        <is>
          <t>Desk Organizer</t>
        </is>
      </c>
      <c r="D107" t="n">
        <v>7</v>
      </c>
      <c r="E107" s="14" t="n">
        <v>18.75</v>
      </c>
      <c r="F107" s="14">
        <f>D107*E107</f>
        <v/>
      </c>
      <c r="G107" s="18" t="n">
        <v>0.1</v>
      </c>
      <c r="H107" t="n">
        <v>2</v>
      </c>
    </row>
    <row r="108">
      <c r="A108" s="3" t="n">
        <v>45980</v>
      </c>
      <c r="B108" t="inlineStr">
        <is>
          <t>East</t>
        </is>
      </c>
      <c r="C108" t="inlineStr">
        <is>
          <t>A4 Paper (box of 5 reams)</t>
        </is>
      </c>
      <c r="D108" t="n">
        <v>36</v>
      </c>
      <c r="E108" s="14" t="n">
        <v>27.5</v>
      </c>
      <c r="F108" s="14">
        <f>D108*E108</f>
        <v/>
      </c>
      <c r="G108" s="18" t="n">
        <v>0.15</v>
      </c>
      <c r="H108" t="n">
        <v>5</v>
      </c>
    </row>
    <row r="109">
      <c r="A109" s="3" t="n">
        <v>45982</v>
      </c>
      <c r="B109" t="inlineStr">
        <is>
          <t>East</t>
        </is>
      </c>
      <c r="C109" t="inlineStr">
        <is>
          <t>Standing Desk</t>
        </is>
      </c>
      <c r="D109" t="n">
        <v>5</v>
      </c>
      <c r="E109" s="14" t="n">
        <v>539</v>
      </c>
      <c r="F109" s="14">
        <f>D109*E109</f>
        <v/>
      </c>
      <c r="G109" s="18" t="n">
        <v>0.05</v>
      </c>
      <c r="H109" t="n">
        <v>5</v>
      </c>
    </row>
    <row r="110">
      <c r="A110" s="3" t="n">
        <v>45985</v>
      </c>
      <c r="B110" t="inlineStr">
        <is>
          <t>East</t>
        </is>
      </c>
      <c r="C110" t="inlineStr">
        <is>
          <t>Desk Organizer</t>
        </is>
      </c>
      <c r="D110" t="n">
        <v>15</v>
      </c>
      <c r="E110" s="14" t="n">
        <v>18.75</v>
      </c>
      <c r="F110" s="14">
        <f>D110*E110</f>
        <v/>
      </c>
      <c r="G110" s="18" t="n">
        <v>0</v>
      </c>
      <c r="H110" t="n">
        <v>1</v>
      </c>
    </row>
    <row r="111">
      <c r="A111" s="3" t="n">
        <v>45987</v>
      </c>
      <c r="B111" t="inlineStr">
        <is>
          <t>West</t>
        </is>
      </c>
      <c r="C111" t="inlineStr">
        <is>
          <t>Desk Organizer</t>
        </is>
      </c>
      <c r="D111" t="n">
        <v>22</v>
      </c>
      <c r="E111" s="14" t="n">
        <v>18.75</v>
      </c>
      <c r="F111" s="14">
        <f>D111*E111</f>
        <v/>
      </c>
      <c r="G111" s="18" t="n">
        <v>0.05</v>
      </c>
      <c r="H111" t="n">
        <v>5</v>
      </c>
    </row>
    <row r="112">
      <c r="A112" s="3" t="n">
        <v>45992</v>
      </c>
      <c r="B112" t="inlineStr">
        <is>
          <t>West</t>
        </is>
      </c>
      <c r="C112" t="inlineStr">
        <is>
          <t>27-inch Monitor</t>
        </is>
      </c>
      <c r="D112" t="n">
        <v>9</v>
      </c>
      <c r="E112" s="14" t="n">
        <v>319</v>
      </c>
      <c r="F112" s="14">
        <f>D112*E112</f>
        <v/>
      </c>
      <c r="G112" s="18" t="n">
        <v>0.12</v>
      </c>
      <c r="H112" t="n">
        <v>1</v>
      </c>
    </row>
    <row r="113">
      <c r="A113" s="3" t="n">
        <v>45995</v>
      </c>
      <c r="B113" t="inlineStr">
        <is>
          <t>West</t>
        </is>
      </c>
      <c r="C113" t="inlineStr">
        <is>
          <t>Ergonomic Office Chair</t>
        </is>
      </c>
      <c r="D113" t="n">
        <v>8</v>
      </c>
      <c r="E113" s="14" t="n">
        <v>249</v>
      </c>
      <c r="F113" s="14">
        <f>D113*E113</f>
        <v/>
      </c>
      <c r="G113" s="18" t="n">
        <v>0</v>
      </c>
      <c r="H113" t="n">
        <v>2</v>
      </c>
    </row>
    <row r="114">
      <c r="A114" s="3" t="n">
        <v>45996</v>
      </c>
      <c r="B114" t="inlineStr">
        <is>
          <t>East</t>
        </is>
      </c>
      <c r="C114" t="inlineStr">
        <is>
          <t>27-inch Monitor</t>
        </is>
      </c>
      <c r="D114" t="n">
        <v>5</v>
      </c>
      <c r="E114" s="14" t="n">
        <v>319</v>
      </c>
      <c r="F114" s="14">
        <f>D114*E114</f>
        <v/>
      </c>
      <c r="G114" s="18" t="n">
        <v>0.08</v>
      </c>
      <c r="H114" t="n">
        <v>4</v>
      </c>
    </row>
    <row r="115">
      <c r="A115" s="3" t="n">
        <v>46000</v>
      </c>
      <c r="B115" t="inlineStr">
        <is>
          <t>North</t>
        </is>
      </c>
      <c r="C115" t="inlineStr">
        <is>
          <t>27-inch Monitor</t>
        </is>
      </c>
      <c r="D115" t="n">
        <v>9</v>
      </c>
      <c r="E115" s="14" t="n">
        <v>319</v>
      </c>
      <c r="F115" s="14">
        <f>D115*E115</f>
        <v/>
      </c>
      <c r="G115" s="18" t="n">
        <v>0.05</v>
      </c>
      <c r="H115" t="n">
        <v>2</v>
      </c>
    </row>
    <row r="116">
      <c r="A116" s="3" t="n">
        <v>46003</v>
      </c>
      <c r="B116" t="inlineStr">
        <is>
          <t>West</t>
        </is>
      </c>
      <c r="C116" t="inlineStr">
        <is>
          <t>Standing Desk</t>
        </is>
      </c>
      <c r="D116" t="n">
        <v>11</v>
      </c>
      <c r="E116" s="14" t="n">
        <v>539</v>
      </c>
      <c r="F116" s="14">
        <f>D116*E116</f>
        <v/>
      </c>
      <c r="G116" s="18" t="n">
        <v>0.15</v>
      </c>
      <c r="H116" t="n">
        <v>4</v>
      </c>
    </row>
    <row r="117">
      <c r="A117" s="3" t="n">
        <v>46006</v>
      </c>
      <c r="B117" t="inlineStr">
        <is>
          <t>North</t>
        </is>
      </c>
      <c r="C117" t="inlineStr">
        <is>
          <t>Ergonomic Office Chair</t>
        </is>
      </c>
      <c r="D117" t="n">
        <v>4</v>
      </c>
      <c r="E117" s="14" t="n">
        <v>249</v>
      </c>
      <c r="F117" s="14">
        <f>D117*E117</f>
        <v/>
      </c>
      <c r="G117" s="18" t="n">
        <v>0</v>
      </c>
      <c r="H117" t="n">
        <v>4</v>
      </c>
    </row>
    <row r="118">
      <c r="A118" s="3" t="n">
        <v>46010</v>
      </c>
      <c r="B118" t="inlineStr">
        <is>
          <t>North</t>
        </is>
      </c>
      <c r="C118" t="inlineStr">
        <is>
          <t>Wireless Keyboard</t>
        </is>
      </c>
      <c r="D118" t="n">
        <v>3</v>
      </c>
      <c r="E118" s="14" t="n">
        <v>59.9</v>
      </c>
      <c r="F118" s="14">
        <f>D118*E118</f>
        <v/>
      </c>
      <c r="G118" s="18" t="n">
        <v>0.1</v>
      </c>
      <c r="H118" t="n">
        <v>4</v>
      </c>
    </row>
    <row r="119">
      <c r="A119" s="3" t="n">
        <v>46013</v>
      </c>
      <c r="B119" t="inlineStr">
        <is>
          <t>East</t>
        </is>
      </c>
      <c r="C119" t="inlineStr">
        <is>
          <t>Ergonomic Office Chair</t>
        </is>
      </c>
      <c r="D119" t="n">
        <v>13</v>
      </c>
      <c r="E119" s="14" t="n">
        <v>249</v>
      </c>
      <c r="F119" s="14">
        <f>D119*E119</f>
        <v/>
      </c>
      <c r="G119" s="18" t="n">
        <v>0</v>
      </c>
      <c r="H119" t="n">
        <v>4</v>
      </c>
    </row>
    <row r="120">
      <c r="A120" s="3" t="n">
        <v>46016</v>
      </c>
      <c r="B120" t="inlineStr">
        <is>
          <t>North</t>
        </is>
      </c>
      <c r="C120" t="inlineStr">
        <is>
          <t>Coffee Machine</t>
        </is>
      </c>
      <c r="D120" t="n">
        <v>15</v>
      </c>
      <c r="E120" s="14" t="n">
        <v>429</v>
      </c>
      <c r="F120" s="14">
        <f>D120*E120</f>
        <v/>
      </c>
      <c r="G120" s="18" t="n">
        <v>0</v>
      </c>
      <c r="H120" t="n">
        <v>4</v>
      </c>
    </row>
    <row r="121">
      <c r="A121" s="3" t="n">
        <v>46017</v>
      </c>
      <c r="B121" t="inlineStr">
        <is>
          <t>South</t>
        </is>
      </c>
      <c r="C121" t="inlineStr">
        <is>
          <t>Ergonomic Office Chair</t>
        </is>
      </c>
      <c r="D121" t="n">
        <v>4</v>
      </c>
      <c r="E121" s="14" t="n">
        <v>249</v>
      </c>
      <c r="F121" s="14">
        <f>D121*E121</f>
        <v/>
      </c>
      <c r="G121" s="18" t="n">
        <v>0.15</v>
      </c>
      <c r="H121" t="n">
        <v>4</v>
      </c>
    </row>
  </sheetData>
  <conditionalFormatting sqref="D2:D121">
    <cfRule type="dataBar" priority="1">
      <dataBar>
        <cfvo type="min"/>
        <cfvo type="max"/>
        <color rgb="005B9BD5"/>
      </dataBar>
    </cfRule>
  </conditionalFormatting>
  <conditionalFormatting sqref="F2:F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21">
    <cfRule type="cellIs" priority="3" operator="greaterThan" dxfId="0">
      <formula>0.1</formula>
    </cfRule>
  </conditionalFormatting>
  <conditionalFormatting sqref="H2:H121">
    <cfRule type="iconSet" priority="4">
      <iconSet iconSet="3Arrows" showValue="1">
        <cfvo type="num" val="1"/>
        <cfvo type="num" val="3"/>
        <cfvo type="num" val="5"/>
      </iconSet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2" customWidth="1" min="4" max="4"/>
    <col width="10" customWidth="1" min="5" max="5"/>
  </cols>
  <sheetData>
    <row r="1">
      <c r="A1" s="19" t="inlineStr">
        <is>
          <t>Product catalogue</t>
        </is>
      </c>
    </row>
    <row r="3">
      <c r="A3" s="4" t="inlineStr">
        <is>
          <t>Code</t>
        </is>
      </c>
      <c r="B3" s="4" t="inlineStr">
        <is>
          <t>Product</t>
        </is>
      </c>
      <c r="C3" s="4" t="inlineStr">
        <is>
          <t>Category</t>
        </is>
      </c>
      <c r="D3" s="4" t="inlineStr">
        <is>
          <t>Unit price</t>
        </is>
      </c>
      <c r="E3" s="4" t="inlineStr">
        <is>
          <t>In stock</t>
        </is>
      </c>
      <c r="G3" s="17" t="inlineStr">
        <is>
          <t>Supplier portal</t>
        </is>
      </c>
    </row>
    <row r="4">
      <c r="A4" t="inlineStr">
        <is>
          <t>P-100</t>
        </is>
      </c>
      <c r="B4" t="inlineStr">
        <is>
          <t>Ergonomic Office Chair</t>
        </is>
      </c>
      <c r="C4" t="inlineStr">
        <is>
          <t>Furniture</t>
        </is>
      </c>
      <c r="D4" s="14" t="n">
        <v>249</v>
      </c>
      <c r="E4" t="b">
        <v>1</v>
      </c>
    </row>
    <row r="5">
      <c r="A5" t="inlineStr">
        <is>
          <t>P-110</t>
        </is>
      </c>
      <c r="B5" t="inlineStr">
        <is>
          <t>Standing Desk</t>
        </is>
      </c>
      <c r="C5" t="inlineStr">
        <is>
          <t>Furniture</t>
        </is>
      </c>
      <c r="D5" s="14" t="n">
        <v>539</v>
      </c>
      <c r="E5" t="b">
        <v>0</v>
      </c>
    </row>
    <row r="6">
      <c r="A6" t="inlineStr">
        <is>
          <t>P-200</t>
        </is>
      </c>
      <c r="B6" t="inlineStr">
        <is>
          <t>27-inch Monitor</t>
        </is>
      </c>
      <c r="C6" t="inlineStr">
        <is>
          <t>Electronics</t>
        </is>
      </c>
      <c r="D6" s="14" t="n">
        <v>319</v>
      </c>
      <c r="E6" t="b">
        <v>1</v>
      </c>
    </row>
    <row r="7">
      <c r="A7" t="inlineStr">
        <is>
          <t>P-210</t>
        </is>
      </c>
      <c r="B7" t="inlineStr">
        <is>
          <t>Wireless Keyboard</t>
        </is>
      </c>
      <c r="C7" t="inlineStr">
        <is>
          <t>Electronics</t>
        </is>
      </c>
      <c r="D7" s="14" t="n">
        <v>59.9</v>
      </c>
      <c r="E7" t="b">
        <v>1</v>
      </c>
    </row>
    <row r="8">
      <c r="A8" t="inlineStr">
        <is>
          <t>P-220</t>
        </is>
      </c>
      <c r="B8" t="inlineStr">
        <is>
          <t>Noise-cancelling Headset</t>
        </is>
      </c>
      <c r="C8" t="inlineStr">
        <is>
          <t>Electronics</t>
        </is>
      </c>
      <c r="D8" s="14" t="n">
        <v>149</v>
      </c>
      <c r="E8" t="b">
        <v>1</v>
      </c>
    </row>
    <row r="9">
      <c r="A9" t="inlineStr">
        <is>
          <t>P-300</t>
        </is>
      </c>
      <c r="B9" t="inlineStr">
        <is>
          <t>A4 Paper (box of 5 reams)</t>
        </is>
      </c>
      <c r="C9" t="inlineStr">
        <is>
          <t>Supplies</t>
        </is>
      </c>
      <c r="D9" s="14" t="n">
        <v>27.5</v>
      </c>
      <c r="E9" t="b">
        <v>0</v>
      </c>
    </row>
    <row r="10">
      <c r="A10" t="inlineStr">
        <is>
          <t>P-310</t>
        </is>
      </c>
      <c r="B10" t="inlineStr">
        <is>
          <t>Desk Organizer</t>
        </is>
      </c>
      <c r="C10" t="inlineStr">
        <is>
          <t>Supplies</t>
        </is>
      </c>
      <c r="D10" s="14" t="n">
        <v>18.75</v>
      </c>
      <c r="E10" t="b">
        <v>1</v>
      </c>
    </row>
    <row r="11">
      <c r="A11" t="inlineStr">
        <is>
          <t>P-400</t>
        </is>
      </c>
      <c r="B11" t="inlineStr">
        <is>
          <t>Coffee Machine</t>
        </is>
      </c>
      <c r="C11" t="inlineStr">
        <is>
          <t>Appliances</t>
        </is>
      </c>
      <c r="D11" s="14" t="n">
        <v>429</v>
      </c>
      <c r="E11" t="b">
        <v>1</v>
      </c>
    </row>
  </sheetData>
  <mergeCells count="1">
    <mergeCell ref="A1:E1"/>
  </mergeCells>
  <hyperlinks>
    <hyperlink xmlns:r="http://schemas.openxmlformats.org/officeDocument/2006/relationships" ref="G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</cols>
  <sheetData>
    <row r="1">
      <c r="A1" s="19" t="inlineStr">
        <is>
          <t>Regional targets 2025</t>
        </is>
      </c>
    </row>
    <row r="3">
      <c r="A3" s="4" t="inlineStr">
        <is>
          <t>Region</t>
        </is>
      </c>
      <c r="B3" s="4" t="inlineStr">
        <is>
          <t>Manager</t>
        </is>
      </c>
      <c r="C3" s="4" t="inlineStr">
        <is>
          <t>Annual target</t>
        </is>
      </c>
      <c r="D3" s="4" t="inlineStr">
        <is>
          <t>Share of target</t>
        </is>
      </c>
    </row>
    <row r="4">
      <c r="A4" s="5" t="inlineStr">
        <is>
          <t>North</t>
        </is>
      </c>
      <c r="B4" s="5" t="inlineStr">
        <is>
          <t>Emily Carter</t>
        </is>
      </c>
      <c r="C4" s="7" t="n">
        <v>60000</v>
      </c>
      <c r="D4" s="8">
        <f>C4/SUM($C$4:$C$7)</f>
        <v/>
      </c>
    </row>
    <row r="5">
      <c r="A5" s="5" t="inlineStr">
        <is>
          <t>South</t>
        </is>
      </c>
      <c r="B5" s="5" t="inlineStr">
        <is>
          <t>Daniel Moore</t>
        </is>
      </c>
      <c r="C5" s="7" t="n">
        <v>50000</v>
      </c>
      <c r="D5" s="8">
        <f>C5/SUM($C$4:$C$7)</f>
        <v/>
      </c>
    </row>
    <row r="6">
      <c r="A6" s="5" t="inlineStr">
        <is>
          <t>East</t>
        </is>
      </c>
      <c r="B6" s="5" t="inlineStr">
        <is>
          <t>Olivia Bennett</t>
        </is>
      </c>
      <c r="C6" s="7" t="n">
        <v>55000</v>
      </c>
      <c r="D6" s="8">
        <f>C6/SUM($C$4:$C$7)</f>
        <v/>
      </c>
    </row>
    <row r="7">
      <c r="A7" s="5" t="inlineStr">
        <is>
          <t>West</t>
        </is>
      </c>
      <c r="B7" s="5" t="inlineStr">
        <is>
          <t>Lucas Harris</t>
        </is>
      </c>
      <c r="C7" s="7" t="n">
        <v>65000</v>
      </c>
      <c r="D7" s="8">
        <f>C7/SUM($C$4:$C$7)</f>
        <v/>
      </c>
    </row>
    <row r="8">
      <c r="A8" s="13" t="inlineStr">
        <is>
          <t>Total</t>
        </is>
      </c>
      <c r="C8" s="20">
        <f>SUM(C4:C7)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ElixirOffice fixtures</dc:creator>
  <dcterms:created xmlns:dcterms="http://purl.org/dc/terms/" xmlns:xsi="http://www.w3.org/2001/XMLSchema-instance" xsi:type="dcterms:W3CDTF">2025-01-06T09:00:00Z</dcterms:created>
  <dcterms:modified xmlns:dcterms="http://purl.org/dc/terms/" xmlns:xsi="http://www.w3.org/2001/XMLSchema-instance" xsi:type="dcterms:W3CDTF">2025-01-06T09:00:00Z</dcterms:modified>
</cp:coreProperties>
</file>