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dget 2026"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2">
    <numFmt numFmtId="164" formatCode="#,##0.00;[Red]-#,##0.00"/>
    <numFmt numFmtId="165" formatCode="0.0%"/>
  </numFmts>
  <fonts count="6">
    <font>
      <name val="Calibri"/>
      <family val="2"/>
      <color theme="1"/>
      <sz val="11"/>
      <scheme val="minor"/>
    </font>
    <font>
      <b val="1"/>
      <color rgb="001F4E78"/>
      <sz val="16"/>
    </font>
    <font>
      <b val="1"/>
      <color rgb="00FFFFFF"/>
    </font>
    <font>
      <b val="1"/>
      <color rgb="001F4E78"/>
    </font>
    <font>
      <b val="1"/>
    </font>
    <font>
      <b val="1"/>
      <sz val="12"/>
    </font>
  </fonts>
  <fills count="3">
    <fill>
      <patternFill/>
    </fill>
    <fill>
      <patternFill patternType="gray125"/>
    </fill>
    <fill>
      <patternFill patternType="solid">
        <fgColor rgb="001F4E78"/>
      </patternFill>
    </fill>
  </fills>
  <borders count="3">
    <border>
      <left/>
      <right/>
      <top/>
      <bottom/>
      <diagonal/>
    </border>
    <border>
      <left style="thin">
        <color rgb="00A6A6A6"/>
      </left>
      <right style="thin">
        <color rgb="00A6A6A6"/>
      </right>
      <top style="thin">
        <color rgb="00A6A6A6"/>
      </top>
      <bottom style="thin">
        <color rgb="00A6A6A6"/>
      </bottom>
    </border>
    <border>
      <top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0" pivotButton="0" quotePrefix="0" xfId="0"/>
    <xf numFmtId="164" fontId="0" fillId="0" borderId="0" pivotButton="0" quotePrefix="0" xfId="0"/>
    <xf numFmtId="165" fontId="0" fillId="0" borderId="0" pivotButton="0" quotePrefix="0" xfId="0"/>
    <xf numFmtId="0" fontId="4" fillId="0" borderId="0" pivotButton="0" quotePrefix="0" xfId="0"/>
    <xf numFmtId="164" fontId="4" fillId="0" borderId="2" pivotButton="0" quotePrefix="0" xfId="0"/>
    <xf numFmtId="0" fontId="5" fillId="0" borderId="0" pivotButton="0" quotePrefix="0" xfId="0"/>
    <xf numFmtId="0" fontId="4"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income, expenses and net result</a:t>
            </a:r>
          </a:p>
        </rich>
      </tx>
    </title>
    <plotArea>
      <lineChart>
        <grouping val="standard"/>
        <ser>
          <idx val="0"/>
          <order val="0"/>
          <tx>
            <strRef>
              <f>'Budget 2026'!$A$9</f>
            </strRef>
          </tx>
          <spPr>
            <a:ln xmlns:a="http://schemas.openxmlformats.org/drawingml/2006/main">
              <a:prstDash val="solid"/>
            </a:ln>
          </spPr>
          <marker>
            <symbol val="none"/>
            <spPr>
              <a:ln xmlns:a="http://schemas.openxmlformats.org/drawingml/2006/main">
                <a:prstDash val="solid"/>
              </a:ln>
            </spPr>
          </marker>
          <cat>
            <numRef>
              <f>'Budget 2026'!$C$3:$N$3</f>
            </numRef>
          </cat>
          <val>
            <numRef>
              <f>'Budget 2026'!$C$9:$N$9</f>
            </numRef>
          </val>
        </ser>
        <ser>
          <idx val="1"/>
          <order val="1"/>
          <tx>
            <strRef>
              <f>'Budget 2026'!$A$19</f>
            </strRef>
          </tx>
          <spPr>
            <a:ln xmlns:a="http://schemas.openxmlformats.org/drawingml/2006/main">
              <a:prstDash val="solid"/>
            </a:ln>
          </spPr>
          <marker>
            <symbol val="none"/>
            <spPr>
              <a:ln xmlns:a="http://schemas.openxmlformats.org/drawingml/2006/main">
                <a:prstDash val="solid"/>
              </a:ln>
            </spPr>
          </marker>
          <cat>
            <numRef>
              <f>'Budget 2026'!$C$3:$N$3</f>
            </numRef>
          </cat>
          <val>
            <numRef>
              <f>'Budget 2026'!$C$19:$N$19</f>
            </numRef>
          </val>
        </ser>
        <ser>
          <idx val="2"/>
          <order val="2"/>
          <tx>
            <strRef>
              <f>'Budget 2026'!$A$21</f>
            </strRef>
          </tx>
          <spPr>
            <a:ln xmlns:a="http://schemas.openxmlformats.org/drawingml/2006/main">
              <a:prstDash val="solid"/>
            </a:ln>
          </spPr>
          <marker>
            <symbol val="none"/>
            <spPr>
              <a:ln xmlns:a="http://schemas.openxmlformats.org/drawingml/2006/main">
                <a:prstDash val="solid"/>
              </a:ln>
            </spPr>
          </marker>
          <cat>
            <numRef>
              <f>'Budget 2026'!$C$3:$N$3</f>
            </numRef>
          </cat>
          <val>
            <numRef>
              <f>'Budget 2026'!$C$21:$N$21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26</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B050"/>
    <outlinePr summaryBelow="1" summaryRight="1"/>
    <pageSetUpPr/>
  </sheetPr>
  <dimension ref="A1:P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hidden="1" width="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 width="10" customWidth="1" min="16" max="16"/>
  </cols>
  <sheetData>
    <row r="1">
      <c r="A1" s="1" t="inlineStr">
        <is>
          <t>Riverside Community Association - Budget 2026</t>
        </is>
      </c>
    </row>
    <row r="3">
      <c r="A3" s="2" t="inlineStr">
        <is>
          <t>Line item</t>
        </is>
      </c>
      <c r="B3" s="2" t="inlineStr">
        <is>
          <t>Code</t>
        </is>
      </c>
      <c r="C3" s="2" t="inlineStr">
        <is>
          <t>Jan</t>
        </is>
      </c>
      <c r="D3" s="2" t="inlineStr">
        <is>
          <t>Feb</t>
        </is>
      </c>
      <c r="E3" s="2" t="inlineStr">
        <is>
          <t>Mar</t>
        </is>
      </c>
      <c r="F3" s="2" t="inlineStr">
        <is>
          <t>Apr</t>
        </is>
      </c>
      <c r="G3" s="2" t="inlineStr">
        <is>
          <t>May</t>
        </is>
      </c>
      <c r="H3" s="2" t="inlineStr">
        <is>
          <t>Jun</t>
        </is>
      </c>
      <c r="I3" s="2" t="inlineStr">
        <is>
          <t>Jul</t>
        </is>
      </c>
      <c r="J3" s="2" t="inlineStr">
        <is>
          <t>Aug</t>
        </is>
      </c>
      <c r="K3" s="2" t="inlineStr">
        <is>
          <t>Sep</t>
        </is>
      </c>
      <c r="L3" s="2" t="inlineStr">
        <is>
          <t>Oct</t>
        </is>
      </c>
      <c r="M3" s="2" t="inlineStr">
        <is>
          <t>Nov</t>
        </is>
      </c>
      <c r="N3" s="2" t="inlineStr">
        <is>
          <t>Dec</t>
        </is>
      </c>
      <c r="O3" s="2" t="inlineStr">
        <is>
          <t>Total</t>
        </is>
      </c>
      <c r="P3" s="2" t="inlineStr">
        <is>
          <t>% of total</t>
        </is>
      </c>
    </row>
    <row r="4">
      <c r="A4" s="3" t="inlineStr">
        <is>
          <t>Income</t>
        </is>
      </c>
    </row>
    <row r="5" outlineLevel="1">
      <c r="A5" t="inlineStr">
        <is>
          <t>Membership fees</t>
        </is>
      </c>
      <c r="B5" t="inlineStr">
        <is>
          <t>IN-01</t>
        </is>
      </c>
      <c r="C5" s="4" t="n">
        <v>1431.56</v>
      </c>
      <c r="D5" s="4" t="n">
        <v>1564.17</v>
      </c>
      <c r="E5" s="4" t="n">
        <v>1570.65</v>
      </c>
      <c r="F5" s="4" t="n">
        <v>1190.89</v>
      </c>
      <c r="G5" s="4" t="n">
        <v>1095.37</v>
      </c>
      <c r="H5" s="4" t="n">
        <v>1359.2</v>
      </c>
      <c r="I5" s="4" t="n">
        <v>1286.18</v>
      </c>
      <c r="J5" s="4" t="n">
        <v>1675</v>
      </c>
      <c r="K5" s="4" t="n">
        <v>1588.18</v>
      </c>
      <c r="L5" s="4" t="n">
        <v>1523.56</v>
      </c>
      <c r="M5" s="4" t="n">
        <v>1492.19</v>
      </c>
      <c r="N5" s="4" t="n">
        <v>1566.96</v>
      </c>
      <c r="O5" s="4">
        <f>SUM(C5:N5)</f>
        <v/>
      </c>
      <c r="P5" s="5">
        <f>O5/$O$9</f>
        <v/>
      </c>
    </row>
    <row r="6" outlineLevel="1">
      <c r="A6" t="inlineStr">
        <is>
          <t>Event tickets</t>
        </is>
      </c>
      <c r="B6" t="inlineStr">
        <is>
          <t>IN-02</t>
        </is>
      </c>
      <c r="C6" s="4" t="n">
        <v>510.04</v>
      </c>
      <c r="D6" s="4" t="n">
        <v>601.42</v>
      </c>
      <c r="E6" s="4" t="n">
        <v>515.3</v>
      </c>
      <c r="F6" s="4" t="n">
        <v>745.85</v>
      </c>
      <c r="G6" s="4" t="n">
        <v>483.24</v>
      </c>
      <c r="H6" s="4" t="n">
        <v>718.83</v>
      </c>
      <c r="I6" s="4" t="n">
        <v>488.13</v>
      </c>
      <c r="J6" s="4" t="n">
        <v>677.95</v>
      </c>
      <c r="K6" s="4" t="n">
        <v>569.47</v>
      </c>
      <c r="L6" s="4" t="n">
        <v>590.4299999999999</v>
      </c>
      <c r="M6" s="4" t="n">
        <v>726.15</v>
      </c>
      <c r="N6" s="4" t="n">
        <v>470.77</v>
      </c>
      <c r="O6" s="4">
        <f>SUM(C6:N6)</f>
        <v/>
      </c>
      <c r="P6" s="5">
        <f>O6/$O$9</f>
        <v/>
      </c>
    </row>
    <row r="7" outlineLevel="1">
      <c r="A7" t="inlineStr">
        <is>
          <t>Grants</t>
        </is>
      </c>
      <c r="B7" t="inlineStr">
        <is>
          <t>IN-03</t>
        </is>
      </c>
      <c r="C7" s="4" t="n">
        <v>702.35</v>
      </c>
      <c r="D7" s="4" t="n">
        <v>1086.77</v>
      </c>
      <c r="E7" s="4" t="n">
        <v>904.02</v>
      </c>
      <c r="F7" s="4" t="n">
        <v>715.9400000000001</v>
      </c>
      <c r="G7" s="4" t="n">
        <v>1119.21</v>
      </c>
      <c r="H7" s="4" t="n">
        <v>1101.02</v>
      </c>
      <c r="I7" s="4" t="n">
        <v>725.64</v>
      </c>
      <c r="J7" s="4" t="n">
        <v>865.4400000000001</v>
      </c>
      <c r="K7" s="4" t="n">
        <v>735.78</v>
      </c>
      <c r="L7" s="4" t="n">
        <v>815.64</v>
      </c>
      <c r="M7" s="4" t="n">
        <v>954.65</v>
      </c>
      <c r="N7" s="4" t="n">
        <v>748.59</v>
      </c>
      <c r="O7" s="4">
        <f>SUM(C7:N7)</f>
        <v/>
      </c>
      <c r="P7" s="5">
        <f>O7/$O$9</f>
        <v/>
      </c>
    </row>
    <row r="8" outlineLevel="1">
      <c r="A8" t="inlineStr">
        <is>
          <t>Donations</t>
        </is>
      </c>
      <c r="B8" t="inlineStr">
        <is>
          <t>IN-04</t>
        </is>
      </c>
      <c r="C8" s="4" t="n">
        <v>329.53</v>
      </c>
      <c r="D8" s="4" t="n">
        <v>232.7</v>
      </c>
      <c r="E8" s="4" t="n">
        <v>250.68</v>
      </c>
      <c r="F8" s="4" t="n">
        <v>347.35</v>
      </c>
      <c r="G8" s="4" t="n">
        <v>285.08</v>
      </c>
      <c r="H8" s="4" t="n">
        <v>287.83</v>
      </c>
      <c r="I8" s="4" t="n">
        <v>314.4</v>
      </c>
      <c r="J8" s="4" t="n">
        <v>296.52</v>
      </c>
      <c r="K8" s="4" t="n">
        <v>282.69</v>
      </c>
      <c r="L8" s="4" t="n">
        <v>229.57</v>
      </c>
      <c r="M8" s="4" t="n">
        <v>333.95</v>
      </c>
      <c r="N8" s="4" t="n">
        <v>370.12</v>
      </c>
      <c r="O8" s="4">
        <f>SUM(C8:N8)</f>
        <v/>
      </c>
      <c r="P8" s="5">
        <f>O8/$O$9</f>
        <v/>
      </c>
    </row>
    <row r="9">
      <c r="A9" s="6" t="inlineStr">
        <is>
          <t>Total income</t>
        </is>
      </c>
      <c r="C9" s="7">
        <f>SUM(C5:C8)</f>
        <v/>
      </c>
      <c r="D9" s="7">
        <f>SUM(D5:D8)</f>
        <v/>
      </c>
      <c r="E9" s="7">
        <f>SUM(E5:E8)</f>
        <v/>
      </c>
      <c r="F9" s="7">
        <f>SUM(F5:F8)</f>
        <v/>
      </c>
      <c r="G9" s="7">
        <f>SUM(G5:G8)</f>
        <v/>
      </c>
      <c r="H9" s="7">
        <f>SUM(H5:H8)</f>
        <v/>
      </c>
      <c r="I9" s="7">
        <f>SUM(I5:I8)</f>
        <v/>
      </c>
      <c r="J9" s="7">
        <f>SUM(J5:J8)</f>
        <v/>
      </c>
      <c r="K9" s="7">
        <f>SUM(K5:K8)</f>
        <v/>
      </c>
      <c r="L9" s="7">
        <f>SUM(L5:L8)</f>
        <v/>
      </c>
      <c r="M9" s="7">
        <f>SUM(M5:M8)</f>
        <v/>
      </c>
      <c r="N9" s="7">
        <f>SUM(N5:N8)</f>
        <v/>
      </c>
      <c r="O9" s="7">
        <f>SUM(O5:O8)</f>
        <v/>
      </c>
    </row>
    <row r="11">
      <c r="A11" s="3" t="inlineStr">
        <is>
          <t>Expenses</t>
        </is>
      </c>
    </row>
    <row r="12" outlineLevel="1">
      <c r="A12" t="inlineStr">
        <is>
          <t>Hall rental</t>
        </is>
      </c>
      <c r="B12" t="inlineStr">
        <is>
          <t>EX-01</t>
        </is>
      </c>
      <c r="C12" s="4" t="n">
        <v>-990.52</v>
      </c>
      <c r="D12" s="4" t="n">
        <v>-865.4400000000001</v>
      </c>
      <c r="E12" s="4" t="n">
        <v>-742.54</v>
      </c>
      <c r="F12" s="4" t="n">
        <v>-745.25</v>
      </c>
      <c r="G12" s="4" t="n">
        <v>-876.05</v>
      </c>
      <c r="H12" s="4" t="n">
        <v>-869.51</v>
      </c>
      <c r="I12" s="4" t="n">
        <v>-645.53</v>
      </c>
      <c r="J12" s="4" t="n">
        <v>-693.99</v>
      </c>
      <c r="K12" s="4" t="n">
        <v>-745.33</v>
      </c>
      <c r="L12" s="4" t="n">
        <v>-804.54</v>
      </c>
      <c r="M12" s="4" t="n">
        <v>-924.04</v>
      </c>
      <c r="N12" s="4" t="n">
        <v>-800</v>
      </c>
      <c r="O12" s="4">
        <f>SUM(C12:N12)</f>
        <v/>
      </c>
      <c r="P12" s="5">
        <f>O12/$O$19</f>
        <v/>
      </c>
    </row>
    <row r="13" outlineLevel="1">
      <c r="A13" t="inlineStr">
        <is>
          <t>Utilities</t>
        </is>
      </c>
      <c r="B13" t="inlineStr">
        <is>
          <t>EX-02</t>
        </is>
      </c>
      <c r="C13" s="4" t="n">
        <v>-198.66</v>
      </c>
      <c r="D13" s="4" t="n">
        <v>-301.93</v>
      </c>
      <c r="E13" s="4" t="n">
        <v>-250.92</v>
      </c>
      <c r="F13" s="4" t="n">
        <v>-262.47</v>
      </c>
      <c r="G13" s="4" t="n">
        <v>-223.88</v>
      </c>
      <c r="H13" s="4" t="n">
        <v>-250.54</v>
      </c>
      <c r="I13" s="4" t="n">
        <v>-245.47</v>
      </c>
      <c r="J13" s="4" t="n">
        <v>-295.35</v>
      </c>
      <c r="K13" s="4" t="n">
        <v>-208.34</v>
      </c>
      <c r="L13" s="4" t="n">
        <v>-266.5</v>
      </c>
      <c r="M13" s="4" t="n">
        <v>-218.15</v>
      </c>
      <c r="N13" s="4" t="n">
        <v>-285.47</v>
      </c>
      <c r="O13" s="4">
        <f>SUM(C13:N13)</f>
        <v/>
      </c>
      <c r="P13" s="5">
        <f>O13/$O$19</f>
        <v/>
      </c>
    </row>
    <row r="14" outlineLevel="1">
      <c r="A14" t="inlineStr">
        <is>
          <t>Insurance</t>
        </is>
      </c>
      <c r="B14" t="inlineStr">
        <is>
          <t>EX-03</t>
        </is>
      </c>
      <c r="C14" s="4" t="n">
        <v>-111.42</v>
      </c>
      <c r="D14" s="4" t="n">
        <v>-128.8</v>
      </c>
      <c r="E14" s="4" t="n">
        <v>-133.7</v>
      </c>
      <c r="F14" s="4" t="n">
        <v>-154.93</v>
      </c>
      <c r="G14" s="4" t="n">
        <v>-112.52</v>
      </c>
      <c r="H14" s="4" t="n">
        <v>-142.05</v>
      </c>
      <c r="I14" s="4" t="n">
        <v>-123.89</v>
      </c>
      <c r="J14" s="4" t="n">
        <v>-129.19</v>
      </c>
      <c r="K14" s="4" t="n">
        <v>-143.28</v>
      </c>
      <c r="L14" s="4" t="n">
        <v>-178.26</v>
      </c>
      <c r="M14" s="4" t="n">
        <v>-143.62</v>
      </c>
      <c r="N14" s="4" t="n">
        <v>-178.05</v>
      </c>
      <c r="O14" s="4">
        <f>SUM(C14:N14)</f>
        <v/>
      </c>
      <c r="P14" s="5">
        <f>O14/$O$19</f>
        <v/>
      </c>
    </row>
    <row r="15" outlineLevel="1">
      <c r="A15" t="inlineStr">
        <is>
          <t>Event supplies</t>
        </is>
      </c>
      <c r="B15" t="inlineStr">
        <is>
          <t>EX-04</t>
        </is>
      </c>
      <c r="C15" s="4" t="n">
        <v>-341.85</v>
      </c>
      <c r="D15" s="4" t="n">
        <v>-496.97</v>
      </c>
      <c r="E15" s="4" t="n">
        <v>-382.16</v>
      </c>
      <c r="F15" s="4" t="n">
        <v>-346.29</v>
      </c>
      <c r="G15" s="4" t="n">
        <v>-460.95</v>
      </c>
      <c r="H15" s="4" t="n">
        <v>-494.47</v>
      </c>
      <c r="I15" s="4" t="n">
        <v>-308.87</v>
      </c>
      <c r="J15" s="4" t="n">
        <v>-362.49</v>
      </c>
      <c r="K15" s="4" t="n">
        <v>-465.49</v>
      </c>
      <c r="L15" s="4" t="n">
        <v>-377.57</v>
      </c>
      <c r="M15" s="4" t="n">
        <v>-357.03</v>
      </c>
      <c r="N15" s="4" t="n">
        <v>-309.27</v>
      </c>
      <c r="O15" s="4">
        <f>SUM(C15:N15)</f>
        <v/>
      </c>
      <c r="P15" s="5">
        <f>O15/$O$19</f>
        <v/>
      </c>
    </row>
    <row r="16" outlineLevel="1">
      <c r="A16" t="inlineStr">
        <is>
          <t>Newsletter printing</t>
        </is>
      </c>
      <c r="B16" t="inlineStr">
        <is>
          <t>EX-05</t>
        </is>
      </c>
      <c r="C16" s="4" t="n">
        <v>-73.15000000000001</v>
      </c>
      <c r="D16" s="4" t="n">
        <v>-100.66</v>
      </c>
      <c r="E16" s="4" t="n">
        <v>-117.98</v>
      </c>
      <c r="F16" s="4" t="n">
        <v>-118.68</v>
      </c>
      <c r="G16" s="4" t="n">
        <v>-95.17</v>
      </c>
      <c r="H16" s="4" t="n">
        <v>-72.39</v>
      </c>
      <c r="I16" s="4" t="n">
        <v>-86.56999999999999</v>
      </c>
      <c r="J16" s="4" t="n">
        <v>-108.65</v>
      </c>
      <c r="K16" s="4" t="n">
        <v>-110.77</v>
      </c>
      <c r="L16" s="4" t="n">
        <v>-101.62</v>
      </c>
      <c r="M16" s="4" t="n">
        <v>-82.15000000000001</v>
      </c>
      <c r="N16" s="4" t="n">
        <v>-96.29000000000001</v>
      </c>
      <c r="O16" s="4">
        <f>SUM(C16:N16)</f>
        <v/>
      </c>
      <c r="P16" s="5">
        <f>O16/$O$19</f>
        <v/>
      </c>
    </row>
    <row r="17" outlineLevel="1">
      <c r="A17" t="inlineStr">
        <is>
          <t>Website &amp; software</t>
        </is>
      </c>
      <c r="B17" t="inlineStr">
        <is>
          <t>EX-06</t>
        </is>
      </c>
      <c r="C17" s="4" t="n">
        <v>-59.32</v>
      </c>
      <c r="D17" s="4" t="n">
        <v>-63.81</v>
      </c>
      <c r="E17" s="4" t="n">
        <v>-52.88</v>
      </c>
      <c r="F17" s="4" t="n">
        <v>-73.40000000000001</v>
      </c>
      <c r="G17" s="4" t="n">
        <v>-71.83</v>
      </c>
      <c r="H17" s="4" t="n">
        <v>-49.86</v>
      </c>
      <c r="I17" s="4" t="n">
        <v>-53.74</v>
      </c>
      <c r="J17" s="4" t="n">
        <v>-71.2</v>
      </c>
      <c r="K17" s="4" t="n">
        <v>-53.35</v>
      </c>
      <c r="L17" s="4" t="n">
        <v>-73.31999999999999</v>
      </c>
      <c r="M17" s="4" t="n">
        <v>-60.46</v>
      </c>
      <c r="N17" s="4" t="n">
        <v>-65.88</v>
      </c>
      <c r="O17" s="4">
        <f>SUM(C17:N17)</f>
        <v/>
      </c>
      <c r="P17" s="5">
        <f>O17/$O$19</f>
        <v/>
      </c>
    </row>
    <row r="18" outlineLevel="1">
      <c r="A18" t="inlineStr">
        <is>
          <t>Volunteer expenses</t>
        </is>
      </c>
      <c r="B18" t="inlineStr">
        <is>
          <t>EX-07</t>
        </is>
      </c>
      <c r="C18" s="4" t="n">
        <v>-132.28</v>
      </c>
      <c r="D18" s="4" t="n">
        <v>-102.84</v>
      </c>
      <c r="E18" s="4" t="n">
        <v>-107.1</v>
      </c>
      <c r="F18" s="4" t="n">
        <v>-105.3</v>
      </c>
      <c r="G18" s="4" t="n">
        <v>-131</v>
      </c>
      <c r="H18" s="4" t="n">
        <v>-131.65</v>
      </c>
      <c r="I18" s="4" t="n">
        <v>-97.90000000000001</v>
      </c>
      <c r="J18" s="4" t="n">
        <v>-143.19</v>
      </c>
      <c r="K18" s="4" t="n">
        <v>-115.22</v>
      </c>
      <c r="L18" s="4" t="n">
        <v>-104.47</v>
      </c>
      <c r="M18" s="4" t="n">
        <v>-116.12</v>
      </c>
      <c r="N18" s="4" t="n">
        <v>-148.77</v>
      </c>
      <c r="O18" s="4">
        <f>SUM(C18:N18)</f>
        <v/>
      </c>
      <c r="P18" s="5">
        <f>O18/$O$19</f>
        <v/>
      </c>
    </row>
    <row r="19">
      <c r="A19" s="6" t="inlineStr">
        <is>
          <t>Total expenses</t>
        </is>
      </c>
      <c r="C19" s="7">
        <f>SUM(C12:C18)</f>
        <v/>
      </c>
      <c r="D19" s="7">
        <f>SUM(D12:D18)</f>
        <v/>
      </c>
      <c r="E19" s="7">
        <f>SUM(E12:E18)</f>
        <v/>
      </c>
      <c r="F19" s="7">
        <f>SUM(F12:F18)</f>
        <v/>
      </c>
      <c r="G19" s="7">
        <f>SUM(G12:G18)</f>
        <v/>
      </c>
      <c r="H19" s="7">
        <f>SUM(H12:H18)</f>
        <v/>
      </c>
      <c r="I19" s="7">
        <f>SUM(I12:I18)</f>
        <v/>
      </c>
      <c r="J19" s="7">
        <f>SUM(J12:J18)</f>
        <v/>
      </c>
      <c r="K19" s="7">
        <f>SUM(K12:K18)</f>
        <v/>
      </c>
      <c r="L19" s="7">
        <f>SUM(L12:L18)</f>
        <v/>
      </c>
      <c r="M19" s="7">
        <f>SUM(M12:M18)</f>
        <v/>
      </c>
      <c r="N19" s="7">
        <f>SUM(N12:N18)</f>
        <v/>
      </c>
      <c r="O19" s="7">
        <f>SUM(O12:O18)</f>
        <v/>
      </c>
    </row>
    <row r="21">
      <c r="A21" s="8" t="inlineStr">
        <is>
          <t>Net result</t>
        </is>
      </c>
      <c r="C21" s="7">
        <f>C9+C19</f>
        <v/>
      </c>
      <c r="D21" s="7">
        <f>D9+D19</f>
        <v/>
      </c>
      <c r="E21" s="7">
        <f>E9+E19</f>
        <v/>
      </c>
      <c r="F21" s="7">
        <f>F9+F19</f>
        <v/>
      </c>
      <c r="G21" s="7">
        <f>G9+G19</f>
        <v/>
      </c>
      <c r="H21" s="7">
        <f>H9+H19</f>
        <v/>
      </c>
      <c r="I21" s="7">
        <f>I9+I19</f>
        <v/>
      </c>
      <c r="J21" s="7">
        <f>J9+J19</f>
        <v/>
      </c>
      <c r="K21" s="7">
        <f>K9+K19</f>
        <v/>
      </c>
      <c r="L21" s="7">
        <f>L9+L19</f>
        <v/>
      </c>
      <c r="M21" s="7">
        <f>M9+M19</f>
        <v/>
      </c>
      <c r="N21" s="7">
        <f>N9+N19</f>
        <v/>
      </c>
      <c r="O21" s="7">
        <f>O9+O19</f>
        <v/>
      </c>
    </row>
    <row r="23">
      <c r="A23" t="inlineStr">
        <is>
          <t>Opening balance</t>
        </is>
      </c>
      <c r="C23" s="4" t="n">
        <v>4200</v>
      </c>
    </row>
    <row r="24">
      <c r="A24" s="6" t="inlineStr">
        <is>
          <t>Closing balance</t>
        </is>
      </c>
      <c r="C24" s="4">
        <f>C23+O21</f>
        <v/>
      </c>
    </row>
  </sheetData>
  <mergeCells count="1">
    <mergeCell ref="A1:P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A5A5A5"/>
    <outlinePr summaryBelow="1" summaryRight="1"/>
    <pageSetUpPr/>
  </sheetPr>
  <dimension ref="A1:B7"/>
  <sheetViews>
    <sheetView workbookViewId="0">
      <selection activeCell="A1" sqref="A1"/>
    </sheetView>
  </sheetViews>
  <sheetFormatPr baseColWidth="8" defaultRowHeight="15"/>
  <cols>
    <col width="18" customWidth="1" min="1" max="1"/>
    <col width="70" customWidth="1" min="2" max="2"/>
  </cols>
  <sheetData>
    <row r="1">
      <c r="A1" s="1" t="inlineStr">
        <is>
          <t>Notes for the treasurer</t>
        </is>
      </c>
    </row>
    <row r="3" ht="62" customHeight="1">
      <c r="A3" s="9" t="inlineStr">
        <is>
          <t>Budget basis</t>
        </is>
      </c>
      <c r="B3" s="10" t="inlineStr">
        <is>
          <t>All figures are in US dollars and are based on the 2025 actuals, adjusted for the new hall rental agreement that starts in January. Income is shown as positive values and expenses as negative values so that the net result is a simple sum.</t>
        </is>
      </c>
    </row>
    <row r="4" ht="62" customHeight="1">
      <c r="A4" s="9" t="inlineStr">
        <is>
          <t>Grants</t>
        </is>
      </c>
      <c r="B4" s="10" t="inlineStr">
        <is>
          <t>The municipal community grant is paid in quarterly instalments. If the grant is delayed, the board has agreed to postpone the autumn newsletter printing rather than draw on the reserve fund.</t>
        </is>
      </c>
    </row>
    <row r="5" ht="62" customHeight="1">
      <c r="A5" s="9" t="inlineStr">
        <is>
          <t>Hidden column</t>
        </is>
      </c>
      <c r="B5" s="10" t="inlineStr">
        <is>
          <t>Column B contains internal accounting codes used by the bookkeeper. It is hidden in the budget view; unhide it to reconcile with the general ledger.</t>
        </is>
      </c>
    </row>
    <row r="6" ht="62" customHeight="1">
      <c r="A6" s="9" t="inlineStr">
        <is>
          <t>Grouped rows</t>
        </is>
      </c>
      <c r="B6" s="10" t="inlineStr">
        <is>
          <t>Detail rows are grouped so that the board can collapse the budget to show only the totals during the annual general meeting.</t>
        </is>
      </c>
    </row>
    <row r="7" ht="62" customHeight="1">
      <c r="A7" s="9" t="inlineStr">
        <is>
          <t>Approval</t>
        </is>
      </c>
      <c r="B7" s="10" t="inlineStr">
        <is>
          <t>This budget was presented to the board on 18 November 2025 and approved unanimously, subject to a mid-year review in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ElixirOffice fixtures</dc:creator>
  <dcterms:created xmlns:dcterms="http://purl.org/dc/terms/" xmlns:xsi="http://www.w3.org/2001/XMLSchema-instance" xsi:type="dcterms:W3CDTF">2025-01-06T09:00:00Z</dcterms:created>
  <dcterms:modified xmlns:dcterms="http://purl.org/dc/terms/" xmlns:xsi="http://www.w3.org/2001/XMLSchema-instance" xsi:type="dcterms:W3CDTF">2025-01-06T09:00:00Z</dcterms:modified>
</cp:coreProperties>
</file>