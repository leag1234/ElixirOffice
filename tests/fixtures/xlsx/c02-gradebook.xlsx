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>
    <definedName name="_xlnm.Print_Titles" localSheetId="0">'Grades'!$1:$1</definedName>
    <definedName name="_xlnm.Print_Area" localSheetId="0">'Grades'!$A$1:$O$37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Class average per assessment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'Grades'!$B$1:$I$1</f>
            </numRef>
          </cat>
          <val>
            <numRef>
              <f>'Grades'!$B$33:$I$33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Ms. Thompson</author>
  </authors>
  <commentList>
    <comment ref="B37" authorId="0" shapeId="0">
      <text>
        <t>Scores below this mark are highlighted in red.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O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7" customWidth="1" min="11" max="11"/>
    <col width="8" customWidth="1" min="12" max="12"/>
    <col width="7" customWidth="1" min="13" max="13"/>
    <col width="7" customWidth="1" min="14" max="14"/>
    <col width="13" customWidth="1" min="15" max="15"/>
  </cols>
  <sheetData>
    <row r="1">
      <c r="A1" s="1" t="inlineStr">
        <is>
          <t>Student</t>
        </is>
      </c>
      <c r="B1" s="1" t="inlineStr">
        <is>
          <t>Quiz 1</t>
        </is>
      </c>
      <c r="C1" s="1" t="inlineStr">
        <is>
          <t>Essay 1</t>
        </is>
      </c>
      <c r="D1" s="1" t="inlineStr">
        <is>
          <t>Quiz 2</t>
        </is>
      </c>
      <c r="E1" s="1" t="inlineStr">
        <is>
          <t>Lab report</t>
        </is>
      </c>
      <c r="F1" s="1" t="inlineStr">
        <is>
          <t>Midterm</t>
        </is>
      </c>
      <c r="G1" s="1" t="inlineStr">
        <is>
          <t>Quiz 3</t>
        </is>
      </c>
      <c r="H1" s="1" t="inlineStr">
        <is>
          <t>Project</t>
        </is>
      </c>
      <c r="I1" s="1" t="inlineStr">
        <is>
          <t>Final exam</t>
        </is>
      </c>
      <c r="J1" s="1" t="inlineStr">
        <is>
          <t>Average</t>
        </is>
      </c>
      <c r="K1" s="1" t="inlineStr">
        <is>
          <t>Best</t>
        </is>
      </c>
      <c r="L1" s="1" t="inlineStr">
        <is>
          <t>Lowest</t>
        </is>
      </c>
      <c r="M1" s="1" t="inlineStr">
        <is>
          <t>Rank</t>
        </is>
      </c>
      <c r="N1" s="1" t="inlineStr">
        <is>
          <t>Grade</t>
        </is>
      </c>
      <c r="O1" s="1" t="inlineStr">
        <is>
          <t>Effort</t>
        </is>
      </c>
    </row>
    <row r="2">
      <c r="A2" s="2" t="inlineStr">
        <is>
          <t>Aaliyah Brooks</t>
        </is>
      </c>
      <c r="B2" s="2" t="n">
        <v>99</v>
      </c>
      <c r="C2" s="2" t="n">
        <v>83</v>
      </c>
      <c r="D2" s="2" t="n">
        <v>93</v>
      </c>
      <c r="E2" s="2" t="n">
        <v>74</v>
      </c>
      <c r="F2" s="2" t="n">
        <v>93</v>
      </c>
      <c r="G2" s="2" t="n">
        <v>94</v>
      </c>
      <c r="H2" s="2" t="n">
        <v>100</v>
      </c>
      <c r="I2" s="2" t="n">
        <v>80</v>
      </c>
      <c r="J2" s="3">
        <f>ROUND(AVERAGE(B2:I2),1)</f>
        <v/>
      </c>
      <c r="K2" s="2">
        <f>MAX(B2:I2)</f>
        <v/>
      </c>
      <c r="L2" s="2">
        <f>MIN(B2:I2)</f>
        <v/>
      </c>
      <c r="M2" s="2">
        <f>RANK(J2,$J$2:$J$31)</f>
        <v/>
      </c>
      <c r="N2" s="2">
        <f>IF(J2&gt;=90,"A",IF(J2&gt;=80,"B",IF(J2&gt;=70,"C",IF(J2&gt;=60,"D","F"))))</f>
        <v/>
      </c>
      <c r="O2" s="2" t="inlineStr">
        <is>
          <t>Good</t>
        </is>
      </c>
    </row>
    <row r="3">
      <c r="A3" s="2" t="inlineStr">
        <is>
          <t>Benjamin Clarke</t>
        </is>
      </c>
      <c r="B3" s="2" t="n">
        <v>55</v>
      </c>
      <c r="C3" s="2" t="n">
        <v>55</v>
      </c>
      <c r="D3" s="2" t="n">
        <v>63</v>
      </c>
      <c r="E3" s="2" t="n">
        <v>47</v>
      </c>
      <c r="F3" s="2" t="n">
        <v>45</v>
      </c>
      <c r="G3" s="2" t="n">
        <v>57</v>
      </c>
      <c r="H3" s="2" t="n">
        <v>43</v>
      </c>
      <c r="I3" s="2" t="n">
        <v>59</v>
      </c>
      <c r="J3" s="3">
        <f>ROUND(AVERAGE(B3:I3),1)</f>
        <v/>
      </c>
      <c r="K3" s="2">
        <f>MAX(B3:I3)</f>
        <v/>
      </c>
      <c r="L3" s="2">
        <f>MIN(B3:I3)</f>
        <v/>
      </c>
      <c r="M3" s="2">
        <f>RANK(J3,$J$2:$J$31)</f>
        <v/>
      </c>
      <c r="N3" s="2">
        <f>IF(J3&gt;=90,"A",IF(J3&gt;=80,"B",IF(J3&gt;=70,"C",IF(J3&gt;=60,"D","F"))))</f>
        <v/>
      </c>
      <c r="O3" s="2" t="inlineStr">
        <is>
          <t>Good</t>
        </is>
      </c>
    </row>
    <row r="4">
      <c r="A4" s="2" t="inlineStr">
        <is>
          <t>Chloe Davies</t>
        </is>
      </c>
      <c r="B4" s="2" t="n">
        <v>43</v>
      </c>
      <c r="C4" s="2" t="n">
        <v>46</v>
      </c>
      <c r="D4" s="2" t="n">
        <v>67</v>
      </c>
      <c r="E4" s="2" t="n">
        <v>67</v>
      </c>
      <c r="F4" s="2" t="n">
        <v>60</v>
      </c>
      <c r="G4" s="2" t="n">
        <v>57</v>
      </c>
      <c r="H4" s="2" t="n">
        <v>53</v>
      </c>
      <c r="I4" s="2" t="n">
        <v>67</v>
      </c>
      <c r="J4" s="3">
        <f>ROUND(AVERAGE(B4:I4),1)</f>
        <v/>
      </c>
      <c r="K4" s="2">
        <f>MAX(B4:I4)</f>
        <v/>
      </c>
      <c r="L4" s="2">
        <f>MIN(B4:I4)</f>
        <v/>
      </c>
      <c r="M4" s="2">
        <f>RANK(J4,$J$2:$J$31)</f>
        <v/>
      </c>
      <c r="N4" s="2">
        <f>IF(J4&gt;=90,"A",IF(J4&gt;=80,"B",IF(J4&gt;=70,"C",IF(J4&gt;=60,"D","F"))))</f>
        <v/>
      </c>
      <c r="O4" s="2" t="inlineStr">
        <is>
          <t>Good</t>
        </is>
      </c>
    </row>
    <row r="5">
      <c r="A5" s="2" t="inlineStr">
        <is>
          <t>Dylan Evans</t>
        </is>
      </c>
      <c r="B5" s="2" t="n">
        <v>76</v>
      </c>
      <c r="C5" s="2" t="n">
        <v>86</v>
      </c>
      <c r="D5" s="2" t="n">
        <v>74</v>
      </c>
      <c r="E5" s="2" t="n">
        <v>81</v>
      </c>
      <c r="F5" s="2" t="n">
        <v>99</v>
      </c>
      <c r="G5" s="2" t="n">
        <v>92</v>
      </c>
      <c r="H5" s="2" t="n">
        <v>95</v>
      </c>
      <c r="I5" s="2" t="n">
        <v>82</v>
      </c>
      <c r="J5" s="3">
        <f>ROUND(AVERAGE(B5:I5),1)</f>
        <v/>
      </c>
      <c r="K5" s="2">
        <f>MAX(B5:I5)</f>
        <v/>
      </c>
      <c r="L5" s="2">
        <f>MIN(B5:I5)</f>
        <v/>
      </c>
      <c r="M5" s="2">
        <f>RANK(J5,$J$2:$J$31)</f>
        <v/>
      </c>
      <c r="N5" s="2">
        <f>IF(J5&gt;=90,"A",IF(J5&gt;=80,"B",IF(J5&gt;=70,"C",IF(J5&gt;=60,"D","F"))))</f>
        <v/>
      </c>
      <c r="O5" s="2" t="inlineStr">
        <is>
          <t>Satisfactory</t>
        </is>
      </c>
    </row>
    <row r="6">
      <c r="A6" s="2" t="inlineStr">
        <is>
          <t>Ella Fisher</t>
        </is>
      </c>
      <c r="B6" s="2" t="n">
        <v>79</v>
      </c>
      <c r="C6" s="2" t="n">
        <v>97</v>
      </c>
      <c r="D6" s="2" t="n">
        <v>84</v>
      </c>
      <c r="E6" s="2" t="n">
        <v>96</v>
      </c>
      <c r="F6" s="2" t="n">
        <v>93</v>
      </c>
      <c r="G6" s="2" t="n">
        <v>79</v>
      </c>
      <c r="H6" s="2" t="n">
        <v>95</v>
      </c>
      <c r="I6" s="2" t="n">
        <v>91</v>
      </c>
      <c r="J6" s="3">
        <f>ROUND(AVERAGE(B6:I6),1)</f>
        <v/>
      </c>
      <c r="K6" s="2">
        <f>MAX(B6:I6)</f>
        <v/>
      </c>
      <c r="L6" s="2">
        <f>MIN(B6:I6)</f>
        <v/>
      </c>
      <c r="M6" s="2">
        <f>RANK(J6,$J$2:$J$31)</f>
        <v/>
      </c>
      <c r="N6" s="2">
        <f>IF(J6&gt;=90,"A",IF(J6&gt;=80,"B",IF(J6&gt;=70,"C",IF(J6&gt;=60,"D","F"))))</f>
        <v/>
      </c>
      <c r="O6" s="2" t="inlineStr">
        <is>
          <t>Good</t>
        </is>
      </c>
    </row>
    <row r="7">
      <c r="A7" s="2" t="inlineStr">
        <is>
          <t>Finn Graham</t>
        </is>
      </c>
      <c r="B7" s="2" t="n">
        <v>74</v>
      </c>
      <c r="C7" s="2" t="n">
        <v>57</v>
      </c>
      <c r="D7" s="2" t="n">
        <v>57</v>
      </c>
      <c r="E7" s="2" t="n">
        <v>56</v>
      </c>
      <c r="F7" s="2" t="n">
        <v>64</v>
      </c>
      <c r="G7" s="2" t="n">
        <v>50</v>
      </c>
      <c r="H7" s="2" t="n">
        <v>52</v>
      </c>
      <c r="I7" s="2" t="n">
        <v>55</v>
      </c>
      <c r="J7" s="3">
        <f>ROUND(AVERAGE(B7:I7),1)</f>
        <v/>
      </c>
      <c r="K7" s="2">
        <f>MAX(B7:I7)</f>
        <v/>
      </c>
      <c r="L7" s="2">
        <f>MIN(B7:I7)</f>
        <v/>
      </c>
      <c r="M7" s="2">
        <f>RANK(J7,$J$2:$J$31)</f>
        <v/>
      </c>
      <c r="N7" s="2">
        <f>IF(J7&gt;=90,"A",IF(J7&gt;=80,"B",IF(J7&gt;=70,"C",IF(J7&gt;=60,"D","F"))))</f>
        <v/>
      </c>
      <c r="O7" s="2" t="inlineStr">
        <is>
          <t>Good</t>
        </is>
      </c>
    </row>
    <row r="8">
      <c r="A8" s="2" t="inlineStr">
        <is>
          <t>Grace Hughes</t>
        </is>
      </c>
      <c r="B8" s="2" t="n">
        <v>71</v>
      </c>
      <c r="C8" s="2" t="n">
        <v>47</v>
      </c>
      <c r="D8" s="2" t="n">
        <v>60</v>
      </c>
      <c r="E8" s="2" t="n">
        <v>70</v>
      </c>
      <c r="F8" s="2" t="n">
        <v>63</v>
      </c>
      <c r="G8" s="2" t="n">
        <v>56</v>
      </c>
      <c r="H8" s="2" t="n">
        <v>52</v>
      </c>
      <c r="I8" s="2" t="n">
        <v>63</v>
      </c>
      <c r="J8" s="3">
        <f>ROUND(AVERAGE(B8:I8),1)</f>
        <v/>
      </c>
      <c r="K8" s="2">
        <f>MAX(B8:I8)</f>
        <v/>
      </c>
      <c r="L8" s="2">
        <f>MIN(B8:I8)</f>
        <v/>
      </c>
      <c r="M8" s="2">
        <f>RANK(J8,$J$2:$J$31)</f>
        <v/>
      </c>
      <c r="N8" s="2">
        <f>IF(J8&gt;=90,"A",IF(J8&gt;=80,"B",IF(J8&gt;=70,"C",IF(J8&gt;=60,"D","F"))))</f>
        <v/>
      </c>
      <c r="O8" s="2" t="inlineStr">
        <is>
          <t>Good</t>
        </is>
      </c>
    </row>
    <row r="9">
      <c r="A9" s="2" t="inlineStr">
        <is>
          <t>Harry Irving</t>
        </is>
      </c>
      <c r="B9" s="2" t="n">
        <v>90</v>
      </c>
      <c r="C9" s="2" t="n">
        <v>80</v>
      </c>
      <c r="D9" s="2" t="n">
        <v>86</v>
      </c>
      <c r="E9" s="2" t="n">
        <v>84</v>
      </c>
      <c r="F9" s="2" t="n">
        <v>97</v>
      </c>
      <c r="G9" s="2" t="n">
        <v>91</v>
      </c>
      <c r="H9" s="2" t="n">
        <v>80</v>
      </c>
      <c r="I9" s="2" t="n">
        <v>86</v>
      </c>
      <c r="J9" s="3">
        <f>ROUND(AVERAGE(B9:I9),1)</f>
        <v/>
      </c>
      <c r="K9" s="2">
        <f>MAX(B9:I9)</f>
        <v/>
      </c>
      <c r="L9" s="2">
        <f>MIN(B9:I9)</f>
        <v/>
      </c>
      <c r="M9" s="2">
        <f>RANK(J9,$J$2:$J$31)</f>
        <v/>
      </c>
      <c r="N9" s="2">
        <f>IF(J9&gt;=90,"A",IF(J9&gt;=80,"B",IF(J9&gt;=70,"C",IF(J9&gt;=60,"D","F"))))</f>
        <v/>
      </c>
      <c r="O9" s="2" t="inlineStr">
        <is>
          <t>Good</t>
        </is>
      </c>
    </row>
    <row r="10">
      <c r="A10" s="2" t="inlineStr">
        <is>
          <t>Isla Jenkins</t>
        </is>
      </c>
      <c r="B10" s="2" t="n">
        <v>44</v>
      </c>
      <c r="C10" s="2" t="n">
        <v>64</v>
      </c>
      <c r="D10" s="2" t="n">
        <v>47</v>
      </c>
      <c r="E10" s="2" t="n">
        <v>59</v>
      </c>
      <c r="F10" s="2" t="n">
        <v>59</v>
      </c>
      <c r="G10" s="2" t="n">
        <v>52</v>
      </c>
      <c r="H10" s="2" t="n">
        <v>59</v>
      </c>
      <c r="I10" s="2" t="n">
        <v>52</v>
      </c>
      <c r="J10" s="3">
        <f>ROUND(AVERAGE(B10:I10),1)</f>
        <v/>
      </c>
      <c r="K10" s="2">
        <f>MAX(B10:I10)</f>
        <v/>
      </c>
      <c r="L10" s="2">
        <f>MIN(B10:I10)</f>
        <v/>
      </c>
      <c r="M10" s="2">
        <f>RANK(J10,$J$2:$J$31)</f>
        <v/>
      </c>
      <c r="N10" s="2">
        <f>IF(J10&gt;=90,"A",IF(J10&gt;=80,"B",IF(J10&gt;=70,"C",IF(J10&gt;=60,"D","F"))))</f>
        <v/>
      </c>
      <c r="O10" s="2" t="inlineStr">
        <is>
          <t>Needs work</t>
        </is>
      </c>
    </row>
    <row r="11">
      <c r="A11" s="2" t="inlineStr">
        <is>
          <t>Jack Kennedy</t>
        </is>
      </c>
      <c r="B11" s="2" t="n">
        <v>78</v>
      </c>
      <c r="C11" s="2" t="n">
        <v>77</v>
      </c>
      <c r="D11" s="2" t="n">
        <v>61</v>
      </c>
      <c r="E11" s="2" t="n">
        <v>77</v>
      </c>
      <c r="F11" s="2" t="n">
        <v>61</v>
      </c>
      <c r="G11" s="2" t="n">
        <v>82</v>
      </c>
      <c r="H11" s="2" t="n">
        <v>61</v>
      </c>
      <c r="I11" s="2" t="n">
        <v>72</v>
      </c>
      <c r="J11" s="3">
        <f>ROUND(AVERAGE(B11:I11),1)</f>
        <v/>
      </c>
      <c r="K11" s="2">
        <f>MAX(B11:I11)</f>
        <v/>
      </c>
      <c r="L11" s="2">
        <f>MIN(B11:I11)</f>
        <v/>
      </c>
      <c r="M11" s="2">
        <f>RANK(J11,$J$2:$J$31)</f>
        <v/>
      </c>
      <c r="N11" s="2">
        <f>IF(J11&gt;=90,"A",IF(J11&gt;=80,"B",IF(J11&gt;=70,"C",IF(J11&gt;=60,"D","F"))))</f>
        <v/>
      </c>
      <c r="O11" s="2" t="inlineStr">
        <is>
          <t>Good</t>
        </is>
      </c>
    </row>
    <row r="12">
      <c r="A12" s="2" t="inlineStr">
        <is>
          <t>Katie Lawson</t>
        </is>
      </c>
      <c r="B12" s="2" t="n">
        <v>87</v>
      </c>
      <c r="C12" s="2" t="n">
        <v>73</v>
      </c>
      <c r="D12" s="2" t="n">
        <v>72</v>
      </c>
      <c r="E12" s="2" t="n">
        <v>81</v>
      </c>
      <c r="F12" s="2" t="n">
        <v>77</v>
      </c>
      <c r="G12" s="2" t="n">
        <v>79</v>
      </c>
      <c r="H12" s="2" t="n">
        <v>89</v>
      </c>
      <c r="I12" s="2" t="n">
        <v>92</v>
      </c>
      <c r="J12" s="3">
        <f>ROUND(AVERAGE(B12:I12),1)</f>
        <v/>
      </c>
      <c r="K12" s="2">
        <f>MAX(B12:I12)</f>
        <v/>
      </c>
      <c r="L12" s="2">
        <f>MIN(B12:I12)</f>
        <v/>
      </c>
      <c r="M12" s="2">
        <f>RANK(J12,$J$2:$J$31)</f>
        <v/>
      </c>
      <c r="N12" s="2">
        <f>IF(J12&gt;=90,"A",IF(J12&gt;=80,"B",IF(J12&gt;=70,"C",IF(J12&gt;=60,"D","F"))))</f>
        <v/>
      </c>
      <c r="O12" s="2" t="inlineStr">
        <is>
          <t>Needs work</t>
        </is>
      </c>
    </row>
    <row r="13">
      <c r="A13" s="2" t="inlineStr">
        <is>
          <t>Liam Mitchell</t>
        </is>
      </c>
      <c r="B13" s="2" t="n">
        <v>75</v>
      </c>
      <c r="C13" s="2" t="n">
        <v>71</v>
      </c>
      <c r="D13" s="2" t="n">
        <v>80</v>
      </c>
      <c r="E13" s="2" t="n">
        <v>79</v>
      </c>
      <c r="F13" s="2" t="n">
        <v>71</v>
      </c>
      <c r="G13" s="2" t="n">
        <v>68</v>
      </c>
      <c r="H13" s="2" t="n">
        <v>84</v>
      </c>
      <c r="I13" s="2" t="n">
        <v>84</v>
      </c>
      <c r="J13" s="3">
        <f>ROUND(AVERAGE(B13:I13),1)</f>
        <v/>
      </c>
      <c r="K13" s="2">
        <f>MAX(B13:I13)</f>
        <v/>
      </c>
      <c r="L13" s="2">
        <f>MIN(B13:I13)</f>
        <v/>
      </c>
      <c r="M13" s="2">
        <f>RANK(J13,$J$2:$J$31)</f>
        <v/>
      </c>
      <c r="N13" s="2">
        <f>IF(J13&gt;=90,"A",IF(J13&gt;=80,"B",IF(J13&gt;=70,"C",IF(J13&gt;=60,"D","F"))))</f>
        <v/>
      </c>
      <c r="O13" s="2" t="inlineStr">
        <is>
          <t>Satisfactory</t>
        </is>
      </c>
    </row>
    <row r="14">
      <c r="A14" s="2" t="inlineStr">
        <is>
          <t>Mia Nolan</t>
        </is>
      </c>
      <c r="B14" s="2" t="n">
        <v>72</v>
      </c>
      <c r="C14" s="2" t="n">
        <v>79</v>
      </c>
      <c r="D14" s="2" t="n">
        <v>67</v>
      </c>
      <c r="E14" s="2" t="n">
        <v>86</v>
      </c>
      <c r="F14" s="2" t="n">
        <v>68</v>
      </c>
      <c r="G14" s="2" t="n">
        <v>72</v>
      </c>
      <c r="H14" s="2" t="n">
        <v>79</v>
      </c>
      <c r="I14" s="2" t="n">
        <v>73</v>
      </c>
      <c r="J14" s="3">
        <f>ROUND(AVERAGE(B14:I14),1)</f>
        <v/>
      </c>
      <c r="K14" s="2">
        <f>MAX(B14:I14)</f>
        <v/>
      </c>
      <c r="L14" s="2">
        <f>MIN(B14:I14)</f>
        <v/>
      </c>
      <c r="M14" s="2">
        <f>RANK(J14,$J$2:$J$31)</f>
        <v/>
      </c>
      <c r="N14" s="2">
        <f>IF(J14&gt;=90,"A",IF(J14&gt;=80,"B",IF(J14&gt;=70,"C",IF(J14&gt;=60,"D","F"))))</f>
        <v/>
      </c>
      <c r="O14" s="2" t="inlineStr">
        <is>
          <t>Excellent</t>
        </is>
      </c>
    </row>
    <row r="15">
      <c r="A15" s="2" t="inlineStr">
        <is>
          <t>Noah Owens</t>
        </is>
      </c>
      <c r="B15" s="2" t="n">
        <v>55</v>
      </c>
      <c r="C15" s="2" t="n">
        <v>76</v>
      </c>
      <c r="D15" s="2" t="n">
        <v>62</v>
      </c>
      <c r="E15" s="2" t="n">
        <v>69</v>
      </c>
      <c r="F15" s="2" t="n">
        <v>53</v>
      </c>
      <c r="G15" s="2" t="n">
        <v>70</v>
      </c>
      <c r="H15" s="2" t="n">
        <v>69</v>
      </c>
      <c r="I15" s="2" t="n">
        <v>60</v>
      </c>
      <c r="J15" s="3">
        <f>ROUND(AVERAGE(B15:I15),1)</f>
        <v/>
      </c>
      <c r="K15" s="2">
        <f>MAX(B15:I15)</f>
        <v/>
      </c>
      <c r="L15" s="2">
        <f>MIN(B15:I15)</f>
        <v/>
      </c>
      <c r="M15" s="2">
        <f>RANK(J15,$J$2:$J$31)</f>
        <v/>
      </c>
      <c r="N15" s="2">
        <f>IF(J15&gt;=90,"A",IF(J15&gt;=80,"B",IF(J15&gt;=70,"C",IF(J15&gt;=60,"D","F"))))</f>
        <v/>
      </c>
      <c r="O15" s="2" t="inlineStr">
        <is>
          <t>Satisfactory</t>
        </is>
      </c>
    </row>
    <row r="16">
      <c r="A16" s="2" t="inlineStr">
        <is>
          <t>Olivia Parker</t>
        </is>
      </c>
      <c r="B16" s="2" t="n">
        <v>75</v>
      </c>
      <c r="C16" s="2" t="n">
        <v>96</v>
      </c>
      <c r="D16" s="2" t="n">
        <v>88</v>
      </c>
      <c r="E16" s="2" t="n">
        <v>95</v>
      </c>
      <c r="F16" s="2" t="n">
        <v>74</v>
      </c>
      <c r="G16" s="2" t="n">
        <v>78</v>
      </c>
      <c r="H16" s="2" t="n">
        <v>100</v>
      </c>
      <c r="I16" s="2" t="n">
        <v>93</v>
      </c>
      <c r="J16" s="3">
        <f>ROUND(AVERAGE(B16:I16),1)</f>
        <v/>
      </c>
      <c r="K16" s="2">
        <f>MAX(B16:I16)</f>
        <v/>
      </c>
      <c r="L16" s="2">
        <f>MIN(B16:I16)</f>
        <v/>
      </c>
      <c r="M16" s="2">
        <f>RANK(J16,$J$2:$J$31)</f>
        <v/>
      </c>
      <c r="N16" s="2">
        <f>IF(J16&gt;=90,"A",IF(J16&gt;=80,"B",IF(J16&gt;=70,"C",IF(J16&gt;=60,"D","F"))))</f>
        <v/>
      </c>
      <c r="O16" s="2" t="inlineStr">
        <is>
          <t>Satisfactory</t>
        </is>
      </c>
    </row>
    <row r="17">
      <c r="A17" s="2" t="inlineStr">
        <is>
          <t>Oscar Quinn</t>
        </is>
      </c>
      <c r="B17" s="2" t="n">
        <v>71</v>
      </c>
      <c r="C17" s="2" t="n">
        <v>77</v>
      </c>
      <c r="D17" s="2" t="n">
        <v>89</v>
      </c>
      <c r="E17" s="2" t="n">
        <v>79</v>
      </c>
      <c r="F17" s="2" t="n">
        <v>67</v>
      </c>
      <c r="G17" s="2" t="n">
        <v>67</v>
      </c>
      <c r="H17" s="2" t="n">
        <v>90</v>
      </c>
      <c r="I17" s="2" t="n">
        <v>75</v>
      </c>
      <c r="J17" s="3">
        <f>ROUND(AVERAGE(B17:I17),1)</f>
        <v/>
      </c>
      <c r="K17" s="2">
        <f>MAX(B17:I17)</f>
        <v/>
      </c>
      <c r="L17" s="2">
        <f>MIN(B17:I17)</f>
        <v/>
      </c>
      <c r="M17" s="2">
        <f>RANK(J17,$J$2:$J$31)</f>
        <v/>
      </c>
      <c r="N17" s="2">
        <f>IF(J17&gt;=90,"A",IF(J17&gt;=80,"B",IF(J17&gt;=70,"C",IF(J17&gt;=60,"D","F"))))</f>
        <v/>
      </c>
      <c r="O17" s="2" t="inlineStr">
        <is>
          <t>Needs work</t>
        </is>
      </c>
    </row>
    <row r="18">
      <c r="A18" s="2" t="inlineStr">
        <is>
          <t>Poppy Reid</t>
        </is>
      </c>
      <c r="B18" s="2" t="n">
        <v>67</v>
      </c>
      <c r="C18" s="2" t="n">
        <v>54</v>
      </c>
      <c r="D18" s="2" t="n">
        <v>70</v>
      </c>
      <c r="E18" s="2" t="n">
        <v>44</v>
      </c>
      <c r="F18" s="2" t="n">
        <v>50</v>
      </c>
      <c r="G18" s="2" t="n">
        <v>57</v>
      </c>
      <c r="H18" s="2" t="n">
        <v>62</v>
      </c>
      <c r="I18" s="2" t="n">
        <v>59</v>
      </c>
      <c r="J18" s="3">
        <f>ROUND(AVERAGE(B18:I18),1)</f>
        <v/>
      </c>
      <c r="K18" s="2">
        <f>MAX(B18:I18)</f>
        <v/>
      </c>
      <c r="L18" s="2">
        <f>MIN(B18:I18)</f>
        <v/>
      </c>
      <c r="M18" s="2">
        <f>RANK(J18,$J$2:$J$31)</f>
        <v/>
      </c>
      <c r="N18" s="2">
        <f>IF(J18&gt;=90,"A",IF(J18&gt;=80,"B",IF(J18&gt;=70,"C",IF(J18&gt;=60,"D","F"))))</f>
        <v/>
      </c>
      <c r="O18" s="2" t="inlineStr">
        <is>
          <t>Excellent</t>
        </is>
      </c>
    </row>
    <row r="19">
      <c r="A19" s="2" t="inlineStr">
        <is>
          <t>Ryan Stewart</t>
        </is>
      </c>
      <c r="B19" s="2" t="n">
        <v>62</v>
      </c>
      <c r="C19" s="2" t="n">
        <v>51</v>
      </c>
      <c r="D19" s="2" t="n">
        <v>61</v>
      </c>
      <c r="E19" s="2" t="n">
        <v>56</v>
      </c>
      <c r="F19" s="2" t="n">
        <v>73</v>
      </c>
      <c r="G19" s="2" t="n">
        <v>58</v>
      </c>
      <c r="H19" s="2" t="n">
        <v>73</v>
      </c>
      <c r="I19" s="2" t="n">
        <v>58</v>
      </c>
      <c r="J19" s="3">
        <f>ROUND(AVERAGE(B19:I19),1)</f>
        <v/>
      </c>
      <c r="K19" s="2">
        <f>MAX(B19:I19)</f>
        <v/>
      </c>
      <c r="L19" s="2">
        <f>MIN(B19:I19)</f>
        <v/>
      </c>
      <c r="M19" s="2">
        <f>RANK(J19,$J$2:$J$31)</f>
        <v/>
      </c>
      <c r="N19" s="2">
        <f>IF(J19&gt;=90,"A",IF(J19&gt;=80,"B",IF(J19&gt;=70,"C",IF(J19&gt;=60,"D","F"))))</f>
        <v/>
      </c>
      <c r="O19" s="2" t="inlineStr">
        <is>
          <t>Needs work</t>
        </is>
      </c>
    </row>
    <row r="20">
      <c r="A20" s="2" t="inlineStr">
        <is>
          <t>Sophie Turner</t>
        </is>
      </c>
      <c r="B20" s="2" t="n">
        <v>50</v>
      </c>
      <c r="C20" s="2" t="n">
        <v>50</v>
      </c>
      <c r="D20" s="2" t="n">
        <v>40</v>
      </c>
      <c r="E20" s="2" t="n">
        <v>55</v>
      </c>
      <c r="F20" s="2" t="n">
        <v>64</v>
      </c>
      <c r="G20" s="2" t="n">
        <v>54</v>
      </c>
      <c r="H20" s="2" t="n">
        <v>60</v>
      </c>
      <c r="I20" s="2" t="n">
        <v>43</v>
      </c>
      <c r="J20" s="3">
        <f>ROUND(AVERAGE(B20:I20),1)</f>
        <v/>
      </c>
      <c r="K20" s="2">
        <f>MAX(B20:I20)</f>
        <v/>
      </c>
      <c r="L20" s="2">
        <f>MIN(B20:I20)</f>
        <v/>
      </c>
      <c r="M20" s="2">
        <f>RANK(J20,$J$2:$J$31)</f>
        <v/>
      </c>
      <c r="N20" s="2">
        <f>IF(J20&gt;=90,"A",IF(J20&gt;=80,"B",IF(J20&gt;=70,"C",IF(J20&gt;=60,"D","F"))))</f>
        <v/>
      </c>
      <c r="O20" s="2" t="inlineStr">
        <is>
          <t>Good</t>
        </is>
      </c>
    </row>
    <row r="21">
      <c r="A21" s="2" t="inlineStr">
        <is>
          <t>Thomas Underwood</t>
        </is>
      </c>
      <c r="B21" s="2" t="n">
        <v>95</v>
      </c>
      <c r="C21" s="2" t="n">
        <v>86</v>
      </c>
      <c r="D21" s="2" t="n">
        <v>89</v>
      </c>
      <c r="E21" s="2" t="n">
        <v>94</v>
      </c>
      <c r="F21" s="2" t="n">
        <v>76</v>
      </c>
      <c r="G21" s="2" t="n">
        <v>74</v>
      </c>
      <c r="H21" s="2" t="n">
        <v>78</v>
      </c>
      <c r="I21" s="2" t="n">
        <v>81</v>
      </c>
      <c r="J21" s="3">
        <f>ROUND(AVERAGE(B21:I21),1)</f>
        <v/>
      </c>
      <c r="K21" s="2">
        <f>MAX(B21:I21)</f>
        <v/>
      </c>
      <c r="L21" s="2">
        <f>MIN(B21:I21)</f>
        <v/>
      </c>
      <c r="M21" s="2">
        <f>RANK(J21,$J$2:$J$31)</f>
        <v/>
      </c>
      <c r="N21" s="2">
        <f>IF(J21&gt;=90,"A",IF(J21&gt;=80,"B",IF(J21&gt;=70,"C",IF(J21&gt;=60,"D","F"))))</f>
        <v/>
      </c>
      <c r="O21" s="2" t="inlineStr">
        <is>
          <t>Satisfactory</t>
        </is>
      </c>
    </row>
    <row r="22">
      <c r="A22" s="2" t="inlineStr">
        <is>
          <t>Uma Vaughan</t>
        </is>
      </c>
      <c r="B22" s="2" t="n">
        <v>67</v>
      </c>
      <c r="C22" s="2" t="n">
        <v>70</v>
      </c>
      <c r="D22" s="2" t="n">
        <v>70</v>
      </c>
      <c r="E22" s="2" t="n">
        <v>79</v>
      </c>
      <c r="F22" s="2" t="n">
        <v>87</v>
      </c>
      <c r="G22" s="2" t="n">
        <v>67</v>
      </c>
      <c r="H22" s="2" t="n">
        <v>67</v>
      </c>
      <c r="I22" s="2" t="n">
        <v>76</v>
      </c>
      <c r="J22" s="3">
        <f>ROUND(AVERAGE(B22:I22),1)</f>
        <v/>
      </c>
      <c r="K22" s="2">
        <f>MAX(B22:I22)</f>
        <v/>
      </c>
      <c r="L22" s="2">
        <f>MIN(B22:I22)</f>
        <v/>
      </c>
      <c r="M22" s="2">
        <f>RANK(J22,$J$2:$J$31)</f>
        <v/>
      </c>
      <c r="N22" s="2">
        <f>IF(J22&gt;=90,"A",IF(J22&gt;=80,"B",IF(J22&gt;=70,"C",IF(J22&gt;=60,"D","F"))))</f>
        <v/>
      </c>
      <c r="O22" s="2" t="inlineStr">
        <is>
          <t>Excellent</t>
        </is>
      </c>
    </row>
    <row r="23">
      <c r="A23" s="2" t="inlineStr">
        <is>
          <t>Victor Walsh</t>
        </is>
      </c>
      <c r="B23" s="2" t="n">
        <v>56</v>
      </c>
      <c r="C23" s="2" t="n">
        <v>73</v>
      </c>
      <c r="D23" s="2" t="n">
        <v>67</v>
      </c>
      <c r="E23" s="2" t="n">
        <v>62</v>
      </c>
      <c r="F23" s="2" t="n">
        <v>51</v>
      </c>
      <c r="G23" s="2" t="n">
        <v>72</v>
      </c>
      <c r="H23" s="2" t="n">
        <v>72</v>
      </c>
      <c r="I23" s="2" t="n">
        <v>69</v>
      </c>
      <c r="J23" s="3">
        <f>ROUND(AVERAGE(B23:I23),1)</f>
        <v/>
      </c>
      <c r="K23" s="2">
        <f>MAX(B23:I23)</f>
        <v/>
      </c>
      <c r="L23" s="2">
        <f>MIN(B23:I23)</f>
        <v/>
      </c>
      <c r="M23" s="2">
        <f>RANK(J23,$J$2:$J$31)</f>
        <v/>
      </c>
      <c r="N23" s="2">
        <f>IF(J23&gt;=90,"A",IF(J23&gt;=80,"B",IF(J23&gt;=70,"C",IF(J23&gt;=60,"D","F"))))</f>
        <v/>
      </c>
      <c r="O23" s="2" t="inlineStr">
        <is>
          <t>Good</t>
        </is>
      </c>
    </row>
    <row r="24">
      <c r="A24" s="2" t="inlineStr">
        <is>
          <t>Willow Young</t>
        </is>
      </c>
      <c r="B24" s="2" t="n">
        <v>79</v>
      </c>
      <c r="C24" s="2" t="n">
        <v>80</v>
      </c>
      <c r="D24" s="2" t="n">
        <v>72</v>
      </c>
      <c r="E24" s="2" t="n">
        <v>69</v>
      </c>
      <c r="F24" s="2" t="n">
        <v>82</v>
      </c>
      <c r="G24" s="2" t="n">
        <v>74</v>
      </c>
      <c r="H24" s="2" t="n">
        <v>67</v>
      </c>
      <c r="I24" s="2" t="n">
        <v>81</v>
      </c>
      <c r="J24" s="3">
        <f>ROUND(AVERAGE(B24:I24),1)</f>
        <v/>
      </c>
      <c r="K24" s="2">
        <f>MAX(B24:I24)</f>
        <v/>
      </c>
      <c r="L24" s="2">
        <f>MIN(B24:I24)</f>
        <v/>
      </c>
      <c r="M24" s="2">
        <f>RANK(J24,$J$2:$J$31)</f>
        <v/>
      </c>
      <c r="N24" s="2">
        <f>IF(J24&gt;=90,"A",IF(J24&gt;=80,"B",IF(J24&gt;=70,"C",IF(J24&gt;=60,"D","F"))))</f>
        <v/>
      </c>
      <c r="O24" s="2" t="inlineStr">
        <is>
          <t>Good</t>
        </is>
      </c>
    </row>
    <row r="25">
      <c r="A25" s="2" t="inlineStr">
        <is>
          <t>Xavier Adams</t>
        </is>
      </c>
      <c r="B25" s="2" t="n">
        <v>74</v>
      </c>
      <c r="C25" s="2" t="n">
        <v>71</v>
      </c>
      <c r="D25" s="2" t="n">
        <v>71</v>
      </c>
      <c r="E25" s="2" t="n">
        <v>78</v>
      </c>
      <c r="F25" s="2" t="n">
        <v>56</v>
      </c>
      <c r="G25" s="2" t="n">
        <v>56</v>
      </c>
      <c r="H25" s="2" t="n">
        <v>66</v>
      </c>
      <c r="I25" s="2" t="n">
        <v>55</v>
      </c>
      <c r="J25" s="3">
        <f>ROUND(AVERAGE(B25:I25),1)</f>
        <v/>
      </c>
      <c r="K25" s="2">
        <f>MAX(B25:I25)</f>
        <v/>
      </c>
      <c r="L25" s="2">
        <f>MIN(B25:I25)</f>
        <v/>
      </c>
      <c r="M25" s="2">
        <f>RANK(J25,$J$2:$J$31)</f>
        <v/>
      </c>
      <c r="N25" s="2">
        <f>IF(J25&gt;=90,"A",IF(J25&gt;=80,"B",IF(J25&gt;=70,"C",IF(J25&gt;=60,"D","F"))))</f>
        <v/>
      </c>
      <c r="O25" s="2" t="inlineStr">
        <is>
          <t>Needs work</t>
        </is>
      </c>
    </row>
    <row r="26">
      <c r="A26" s="2" t="inlineStr">
        <is>
          <t>Yasmin Baker</t>
        </is>
      </c>
      <c r="B26" s="2" t="n">
        <v>64</v>
      </c>
      <c r="C26" s="2" t="n">
        <v>74</v>
      </c>
      <c r="D26" s="2" t="n">
        <v>70</v>
      </c>
      <c r="E26" s="2" t="n">
        <v>58</v>
      </c>
      <c r="F26" s="2" t="n">
        <v>60</v>
      </c>
      <c r="G26" s="2" t="n">
        <v>59</v>
      </c>
      <c r="H26" s="2" t="n">
        <v>63</v>
      </c>
      <c r="I26" s="2" t="n">
        <v>67</v>
      </c>
      <c r="J26" s="3">
        <f>ROUND(AVERAGE(B26:I26),1)</f>
        <v/>
      </c>
      <c r="K26" s="2">
        <f>MAX(B26:I26)</f>
        <v/>
      </c>
      <c r="L26" s="2">
        <f>MIN(B26:I26)</f>
        <v/>
      </c>
      <c r="M26" s="2">
        <f>RANK(J26,$J$2:$J$31)</f>
        <v/>
      </c>
      <c r="N26" s="2">
        <f>IF(J26&gt;=90,"A",IF(J26&gt;=80,"B",IF(J26&gt;=70,"C",IF(J26&gt;=60,"D","F"))))</f>
        <v/>
      </c>
      <c r="O26" s="2" t="inlineStr">
        <is>
          <t>Good</t>
        </is>
      </c>
    </row>
    <row r="27">
      <c r="A27" s="2" t="inlineStr">
        <is>
          <t>Zachary Cole</t>
        </is>
      </c>
      <c r="B27" s="2" t="n">
        <v>58</v>
      </c>
      <c r="C27" s="2" t="n">
        <v>81</v>
      </c>
      <c r="D27" s="2" t="n">
        <v>83</v>
      </c>
      <c r="E27" s="2" t="n">
        <v>71</v>
      </c>
      <c r="F27" s="2" t="n">
        <v>81</v>
      </c>
      <c r="G27" s="2" t="n">
        <v>67</v>
      </c>
      <c r="H27" s="2" t="n">
        <v>58</v>
      </c>
      <c r="I27" s="2" t="n">
        <v>84</v>
      </c>
      <c r="J27" s="3">
        <f>ROUND(AVERAGE(B27:I27),1)</f>
        <v/>
      </c>
      <c r="K27" s="2">
        <f>MAX(B27:I27)</f>
        <v/>
      </c>
      <c r="L27" s="2">
        <f>MIN(B27:I27)</f>
        <v/>
      </c>
      <c r="M27" s="2">
        <f>RANK(J27,$J$2:$J$31)</f>
        <v/>
      </c>
      <c r="N27" s="2">
        <f>IF(J27&gt;=90,"A",IF(J27&gt;=80,"B",IF(J27&gt;=70,"C",IF(J27&gt;=60,"D","F"))))</f>
        <v/>
      </c>
      <c r="O27" s="2" t="inlineStr">
        <is>
          <t>Satisfactory</t>
        </is>
      </c>
    </row>
    <row r="28">
      <c r="A28" s="2" t="inlineStr">
        <is>
          <t>Amelia Dixon</t>
        </is>
      </c>
      <c r="B28" s="2" t="n">
        <v>81</v>
      </c>
      <c r="C28" s="2" t="n">
        <v>79</v>
      </c>
      <c r="D28" s="2" t="n">
        <v>60</v>
      </c>
      <c r="E28" s="2" t="n">
        <v>72</v>
      </c>
      <c r="F28" s="2" t="n">
        <v>65</v>
      </c>
      <c r="G28" s="2" t="n">
        <v>60</v>
      </c>
      <c r="H28" s="2" t="n">
        <v>70</v>
      </c>
      <c r="I28" s="2" t="n">
        <v>80</v>
      </c>
      <c r="J28" s="3">
        <f>ROUND(AVERAGE(B28:I28),1)</f>
        <v/>
      </c>
      <c r="K28" s="2">
        <f>MAX(B28:I28)</f>
        <v/>
      </c>
      <c r="L28" s="2">
        <f>MIN(B28:I28)</f>
        <v/>
      </c>
      <c r="M28" s="2">
        <f>RANK(J28,$J$2:$J$31)</f>
        <v/>
      </c>
      <c r="N28" s="2">
        <f>IF(J28&gt;=90,"A",IF(J28&gt;=80,"B",IF(J28&gt;=70,"C",IF(J28&gt;=60,"D","F"))))</f>
        <v/>
      </c>
      <c r="O28" s="2" t="inlineStr">
        <is>
          <t>Satisfactory</t>
        </is>
      </c>
    </row>
    <row r="29">
      <c r="A29" s="2" t="inlineStr">
        <is>
          <t>Ethan Foster</t>
        </is>
      </c>
      <c r="B29" s="2" t="n">
        <v>77</v>
      </c>
      <c r="C29" s="2" t="n">
        <v>90</v>
      </c>
      <c r="D29" s="2" t="n">
        <v>77</v>
      </c>
      <c r="E29" s="2" t="n">
        <v>82</v>
      </c>
      <c r="F29" s="2" t="n">
        <v>76</v>
      </c>
      <c r="G29" s="2" t="n">
        <v>92</v>
      </c>
      <c r="H29" s="2" t="n">
        <v>95</v>
      </c>
      <c r="I29" s="2" t="n">
        <v>89</v>
      </c>
      <c r="J29" s="3">
        <f>ROUND(AVERAGE(B29:I29),1)</f>
        <v/>
      </c>
      <c r="K29" s="2">
        <f>MAX(B29:I29)</f>
        <v/>
      </c>
      <c r="L29" s="2">
        <f>MIN(B29:I29)</f>
        <v/>
      </c>
      <c r="M29" s="2">
        <f>RANK(J29,$J$2:$J$31)</f>
        <v/>
      </c>
      <c r="N29" s="2">
        <f>IF(J29&gt;=90,"A",IF(J29&gt;=80,"B",IF(J29&gt;=70,"C",IF(J29&gt;=60,"D","F"))))</f>
        <v/>
      </c>
      <c r="O29" s="2" t="inlineStr">
        <is>
          <t>Needs work</t>
        </is>
      </c>
    </row>
    <row r="30">
      <c r="A30" s="2" t="inlineStr">
        <is>
          <t>Freya Gibson</t>
        </is>
      </c>
      <c r="B30" s="2" t="n">
        <v>71</v>
      </c>
      <c r="C30" s="2" t="n">
        <v>53</v>
      </c>
      <c r="D30" s="2" t="n">
        <v>57</v>
      </c>
      <c r="E30" s="2" t="n">
        <v>56</v>
      </c>
      <c r="F30" s="2" t="n">
        <v>68</v>
      </c>
      <c r="G30" s="2" t="n">
        <v>72</v>
      </c>
      <c r="H30" s="2" t="n">
        <v>77</v>
      </c>
      <c r="I30" s="2" t="n">
        <v>61</v>
      </c>
      <c r="J30" s="3">
        <f>ROUND(AVERAGE(B30:I30),1)</f>
        <v/>
      </c>
      <c r="K30" s="2">
        <f>MAX(B30:I30)</f>
        <v/>
      </c>
      <c r="L30" s="2">
        <f>MIN(B30:I30)</f>
        <v/>
      </c>
      <c r="M30" s="2">
        <f>RANK(J30,$J$2:$J$31)</f>
        <v/>
      </c>
      <c r="N30" s="2">
        <f>IF(J30&gt;=90,"A",IF(J30&gt;=80,"B",IF(J30&gt;=70,"C",IF(J30&gt;=60,"D","F"))))</f>
        <v/>
      </c>
      <c r="O30" s="2" t="inlineStr">
        <is>
          <t>Excellent</t>
        </is>
      </c>
    </row>
    <row r="31">
      <c r="A31" s="2" t="inlineStr">
        <is>
          <t>George Hall</t>
        </is>
      </c>
      <c r="B31" s="2" t="n">
        <v>99</v>
      </c>
      <c r="C31" s="2" t="n">
        <v>77</v>
      </c>
      <c r="D31" s="2" t="n">
        <v>86</v>
      </c>
      <c r="E31" s="2" t="n">
        <v>80</v>
      </c>
      <c r="F31" s="2" t="n">
        <v>91</v>
      </c>
      <c r="G31" s="2" t="n">
        <v>89</v>
      </c>
      <c r="H31" s="2" t="n">
        <v>85</v>
      </c>
      <c r="I31" s="2" t="n">
        <v>98</v>
      </c>
      <c r="J31" s="3">
        <f>ROUND(AVERAGE(B31:I31),1)</f>
        <v/>
      </c>
      <c r="K31" s="2">
        <f>MAX(B31:I31)</f>
        <v/>
      </c>
      <c r="L31" s="2">
        <f>MIN(B31:I31)</f>
        <v/>
      </c>
      <c r="M31" s="2">
        <f>RANK(J31,$J$2:$J$31)</f>
        <v/>
      </c>
      <c r="N31" s="2">
        <f>IF(J31&gt;=90,"A",IF(J31&gt;=80,"B",IF(J31&gt;=70,"C",IF(J31&gt;=60,"D","F"))))</f>
        <v/>
      </c>
      <c r="O31" s="2" t="inlineStr">
        <is>
          <t>Satisfactory</t>
        </is>
      </c>
    </row>
    <row r="33">
      <c r="A33" s="4" t="inlineStr">
        <is>
          <t>Class average</t>
        </is>
      </c>
      <c r="B33" s="5">
        <f>ROUND(AVERAGE(B2:B31),1)</f>
        <v/>
      </c>
      <c r="C33" s="5">
        <f>ROUND(AVERAGE(C2:C31),1)</f>
        <v/>
      </c>
      <c r="D33" s="5">
        <f>ROUND(AVERAGE(D2:D31),1)</f>
        <v/>
      </c>
      <c r="E33" s="5">
        <f>ROUND(AVERAGE(E2:E31),1)</f>
        <v/>
      </c>
      <c r="F33" s="5">
        <f>ROUND(AVERAGE(F2:F31),1)</f>
        <v/>
      </c>
      <c r="G33" s="5">
        <f>ROUND(AVERAGE(G2:G31),1)</f>
        <v/>
      </c>
      <c r="H33" s="5">
        <f>ROUND(AVERAGE(H2:H31),1)</f>
        <v/>
      </c>
      <c r="I33" s="5">
        <f>ROUND(AVERAGE(I2:I31),1)</f>
        <v/>
      </c>
      <c r="J33" s="5">
        <f>ROUND(AVERAGE(J2:J31),1)</f>
        <v/>
      </c>
    </row>
    <row r="34">
      <c r="A34" s="4" t="inlineStr">
        <is>
          <t>Highest</t>
        </is>
      </c>
      <c r="B34">
        <f>MAX(B2:B31)</f>
        <v/>
      </c>
      <c r="C34">
        <f>MAX(C2:C31)</f>
        <v/>
      </c>
      <c r="D34">
        <f>MAX(D2:D31)</f>
        <v/>
      </c>
      <c r="E34">
        <f>MAX(E2:E31)</f>
        <v/>
      </c>
      <c r="F34">
        <f>MAX(F2:F31)</f>
        <v/>
      </c>
      <c r="G34">
        <f>MAX(G2:G31)</f>
        <v/>
      </c>
      <c r="H34">
        <f>MAX(H2:H31)</f>
        <v/>
      </c>
      <c r="I34">
        <f>MAX(I2:I31)</f>
        <v/>
      </c>
      <c r="J34">
        <f>MAX(J2:J31)</f>
        <v/>
      </c>
    </row>
    <row r="35">
      <c r="A35" s="4" t="inlineStr">
        <is>
          <t>Lowest</t>
        </is>
      </c>
      <c r="B35">
        <f>MIN(B2:B31)</f>
        <v/>
      </c>
      <c r="C35">
        <f>MIN(C2:C31)</f>
        <v/>
      </c>
      <c r="D35">
        <f>MIN(D2:D31)</f>
        <v/>
      </c>
      <c r="E35">
        <f>MIN(E2:E31)</f>
        <v/>
      </c>
      <c r="F35">
        <f>MIN(F2:F31)</f>
        <v/>
      </c>
      <c r="G35">
        <f>MIN(G2:G31)</f>
        <v/>
      </c>
      <c r="H35">
        <f>MIN(H2:H31)</f>
        <v/>
      </c>
      <c r="I35">
        <f>MIN(I2:I31)</f>
        <v/>
      </c>
      <c r="J35">
        <f>MIN(J2:J31)</f>
        <v/>
      </c>
    </row>
    <row r="37">
      <c r="A37" s="4" t="inlineStr">
        <is>
          <t>Passing mark</t>
        </is>
      </c>
      <c r="B37" t="n">
        <v>60</v>
      </c>
    </row>
  </sheetData>
  <conditionalFormatting sqref="B2:I31">
    <cfRule type="colorScale" priority="1">
      <colorScale>
        <cfvo type="num" val="40"/>
        <cfvo type="num" val="70"/>
        <cfvo type="num" val="100"/>
        <color rgb="00F8696B"/>
        <color rgb="00FFEB84"/>
        <color rgb="0063BE7B"/>
      </colorScale>
    </cfRule>
  </conditionalFormatting>
  <conditionalFormatting sqref="A2:A31">
    <cfRule type="expression" priority="2" dxfId="0">
      <formula>$J2&lt;$B$37</formula>
    </cfRule>
  </conditionalFormatting>
  <conditionalFormatting sqref="N2:N31">
    <cfRule type="cellIs" priority="3" operator="equal" dxfId="1">
      <formula>"A"</formula>
    </cfRule>
  </conditionalFormatting>
  <dataValidations count="2">
    <dataValidation sqref="O2:O31" showDropDown="0" showInputMessage="0" showErrorMessage="1" allowBlank="1" errorTitle="Invalid effort" error="Pick a value from the list." promptTitle="Effort" prompt="Choose the effort level" type="list">
      <formula1>"Excellent,Good,Satisfactory,Needs work"</formula1>
    </dataValidation>
    <dataValidation sqref="B2:I31" showDropDown="0" showInputMessage="0" showErrorMessage="1" allowBlank="0" error="Scores must be between 0 and 100." type="whole" operator="between">
      <formula1>0</formula1>
      <formula2>100</formula2>
    </dataValidation>
  </dataValidations>
  <printOptions gridLines="1"/>
  <pageMargins left="0.75" right="0.75" top="1" bottom="1" header="0.5" footer="0.5"/>
  <pageSetup orientation="landscape" paperSize="9" fitToHeight="0" fitToWidth="1"/>
  <headerFooter>
    <oddHeader>&amp;CYear 10 Science - Grade Book 2025/26&amp;RMs. Thompson</oddHeader>
    <oddFooter>&amp;LConfidential - student data&amp;CPage &amp;P of &amp;N&amp;RPrinted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ElixirOffice fixtures</dc:creator>
  <dcterms:created xmlns:dcterms="http://purl.org/dc/terms/" xmlns:xsi="http://www.w3.org/2001/XMLSchema-instance" xsi:type="dcterms:W3CDTF">2025-01-06T09:00:00Z</dcterms:created>
  <dcterms:modified xmlns:dcterms="http://purl.org/dc/terms/" xmlns:xsi="http://www.w3.org/2001/XMLSchema-instance" xsi:type="dcterms:W3CDTF">2025-01-06T09:00:00Z</dcterms:modified>
</cp:coreProperties>
</file>